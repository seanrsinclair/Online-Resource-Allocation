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ansinclair/Documents/GitHub/Online-Resource-Allocation_Private/updated_perishing/data_analysis/"/>
    </mc:Choice>
  </mc:AlternateContent>
  <xr:revisionPtr revIDLastSave="0" documentId="13_ncr:1_{84D4C188-D5A9-F04A-B436-D3630E7CF753}" xr6:coauthVersionLast="47" xr6:coauthVersionMax="47" xr10:uidLastSave="{00000000-0000-0000-0000-000000000000}"/>
  <bookViews>
    <workbookView xWindow="1100" yWindow="820" windowWidth="28040" windowHeight="17440" activeTab="3" xr2:uid="{00000000-000D-0000-FFFF-FFFF00000000}"/>
  </bookViews>
  <sheets>
    <sheet name="ginger_data" sheetId="1" r:id="rId1"/>
    <sheet name="Sheet3" sheetId="4" r:id="rId2"/>
    <sheet name="Sheet2" sheetId="3" r:id="rId3"/>
    <sheet name="Sheet4" sheetId="5" r:id="rId4"/>
  </sheets>
  <calcPr calcId="191029"/>
  <pivotCaches>
    <pivotCache cacheId="2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5" l="1"/>
  <c r="G4" i="5" s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J366" i="3"/>
  <c r="I366" i="3"/>
  <c r="K366" i="3" s="1"/>
  <c r="J365" i="3"/>
  <c r="I365" i="3"/>
  <c r="K365" i="3" s="1"/>
  <c r="K364" i="3"/>
  <c r="J364" i="3"/>
  <c r="I364" i="3"/>
  <c r="K363" i="3"/>
  <c r="J363" i="3"/>
  <c r="I363" i="3"/>
  <c r="J362" i="3"/>
  <c r="I362" i="3"/>
  <c r="K362" i="3" s="1"/>
  <c r="J361" i="3"/>
  <c r="I361" i="3"/>
  <c r="K361" i="3" s="1"/>
  <c r="J360" i="3"/>
  <c r="I360" i="3"/>
  <c r="K360" i="3" s="1"/>
  <c r="K359" i="3"/>
  <c r="J359" i="3"/>
  <c r="I359" i="3"/>
  <c r="K358" i="3"/>
  <c r="J358" i="3"/>
  <c r="I358" i="3"/>
  <c r="J357" i="3"/>
  <c r="I357" i="3"/>
  <c r="K357" i="3" s="1"/>
  <c r="J356" i="3"/>
  <c r="I356" i="3"/>
  <c r="K356" i="3" s="1"/>
  <c r="J355" i="3"/>
  <c r="I355" i="3"/>
  <c r="K355" i="3" s="1"/>
  <c r="K354" i="3"/>
  <c r="J354" i="3"/>
  <c r="I354" i="3"/>
  <c r="K353" i="3"/>
  <c r="J353" i="3"/>
  <c r="I353" i="3"/>
  <c r="J352" i="3"/>
  <c r="I352" i="3"/>
  <c r="K352" i="3" s="1"/>
  <c r="J351" i="3"/>
  <c r="I351" i="3"/>
  <c r="K351" i="3" s="1"/>
  <c r="J350" i="3"/>
  <c r="I350" i="3"/>
  <c r="K350" i="3" s="1"/>
  <c r="K349" i="3"/>
  <c r="J349" i="3"/>
  <c r="I349" i="3"/>
  <c r="K348" i="3"/>
  <c r="J348" i="3"/>
  <c r="I348" i="3"/>
  <c r="J347" i="3"/>
  <c r="I347" i="3"/>
  <c r="K347" i="3" s="1"/>
  <c r="J346" i="3"/>
  <c r="I346" i="3"/>
  <c r="K346" i="3" s="1"/>
  <c r="J345" i="3"/>
  <c r="I345" i="3"/>
  <c r="K345" i="3" s="1"/>
  <c r="K344" i="3"/>
  <c r="J344" i="3"/>
  <c r="I344" i="3"/>
  <c r="K343" i="3"/>
  <c r="J343" i="3"/>
  <c r="I343" i="3"/>
  <c r="J342" i="3"/>
  <c r="I342" i="3"/>
  <c r="K342" i="3" s="1"/>
  <c r="J341" i="3"/>
  <c r="I341" i="3"/>
  <c r="K341" i="3" s="1"/>
  <c r="J340" i="3"/>
  <c r="I340" i="3"/>
  <c r="K340" i="3" s="1"/>
  <c r="K339" i="3"/>
  <c r="J339" i="3"/>
  <c r="I339" i="3"/>
  <c r="K338" i="3"/>
  <c r="J338" i="3"/>
  <c r="I338" i="3"/>
  <c r="J337" i="3"/>
  <c r="I337" i="3"/>
  <c r="K337" i="3" s="1"/>
  <c r="J336" i="3"/>
  <c r="I336" i="3"/>
  <c r="K336" i="3" s="1"/>
  <c r="J335" i="3"/>
  <c r="I335" i="3"/>
  <c r="K335" i="3" s="1"/>
  <c r="K334" i="3"/>
  <c r="J334" i="3"/>
  <c r="I334" i="3"/>
  <c r="K333" i="3"/>
  <c r="J333" i="3"/>
  <c r="I333" i="3"/>
  <c r="J332" i="3"/>
  <c r="I332" i="3"/>
  <c r="K332" i="3" s="1"/>
  <c r="J331" i="3"/>
  <c r="I331" i="3"/>
  <c r="K331" i="3" s="1"/>
  <c r="J330" i="3"/>
  <c r="I330" i="3"/>
  <c r="K330" i="3" s="1"/>
  <c r="K329" i="3"/>
  <c r="J329" i="3"/>
  <c r="I329" i="3"/>
  <c r="K328" i="3"/>
  <c r="J328" i="3"/>
  <c r="I328" i="3"/>
  <c r="J327" i="3"/>
  <c r="I327" i="3"/>
  <c r="K327" i="3" s="1"/>
  <c r="J326" i="3"/>
  <c r="I326" i="3"/>
  <c r="K326" i="3" s="1"/>
  <c r="J325" i="3"/>
  <c r="I325" i="3"/>
  <c r="K325" i="3" s="1"/>
  <c r="K324" i="3"/>
  <c r="J324" i="3"/>
  <c r="I324" i="3"/>
  <c r="K323" i="3"/>
  <c r="J323" i="3"/>
  <c r="I323" i="3"/>
  <c r="J322" i="3"/>
  <c r="I322" i="3"/>
  <c r="K322" i="3" s="1"/>
  <c r="J321" i="3"/>
  <c r="I321" i="3"/>
  <c r="K321" i="3" s="1"/>
  <c r="J320" i="3"/>
  <c r="I320" i="3"/>
  <c r="K320" i="3" s="1"/>
  <c r="K319" i="3"/>
  <c r="J319" i="3"/>
  <c r="I319" i="3"/>
  <c r="K318" i="3"/>
  <c r="J318" i="3"/>
  <c r="I318" i="3"/>
  <c r="J317" i="3"/>
  <c r="I317" i="3"/>
  <c r="K317" i="3" s="1"/>
  <c r="J316" i="3"/>
  <c r="I316" i="3"/>
  <c r="K316" i="3" s="1"/>
  <c r="J315" i="3"/>
  <c r="I315" i="3"/>
  <c r="K315" i="3" s="1"/>
  <c r="K314" i="3"/>
  <c r="J314" i="3"/>
  <c r="I314" i="3"/>
  <c r="K313" i="3"/>
  <c r="J313" i="3"/>
  <c r="I313" i="3"/>
  <c r="J312" i="3"/>
  <c r="I312" i="3"/>
  <c r="K312" i="3" s="1"/>
  <c r="J311" i="3"/>
  <c r="I311" i="3"/>
  <c r="K311" i="3" s="1"/>
  <c r="J310" i="3"/>
  <c r="I310" i="3"/>
  <c r="K310" i="3" s="1"/>
  <c r="K309" i="3"/>
  <c r="J309" i="3"/>
  <c r="I309" i="3"/>
  <c r="K308" i="3"/>
  <c r="J308" i="3"/>
  <c r="I308" i="3"/>
  <c r="J307" i="3"/>
  <c r="I307" i="3"/>
  <c r="K307" i="3" s="1"/>
  <c r="J306" i="3"/>
  <c r="I306" i="3"/>
  <c r="K306" i="3" s="1"/>
  <c r="J305" i="3"/>
  <c r="I305" i="3"/>
  <c r="K305" i="3" s="1"/>
  <c r="K304" i="3"/>
  <c r="J304" i="3"/>
  <c r="I304" i="3"/>
  <c r="K303" i="3"/>
  <c r="J303" i="3"/>
  <c r="I303" i="3"/>
  <c r="J302" i="3"/>
  <c r="I302" i="3"/>
  <c r="K302" i="3" s="1"/>
  <c r="J301" i="3"/>
  <c r="I301" i="3"/>
  <c r="K301" i="3" s="1"/>
  <c r="J300" i="3"/>
  <c r="I300" i="3"/>
  <c r="K300" i="3" s="1"/>
  <c r="K299" i="3"/>
  <c r="J299" i="3"/>
  <c r="I299" i="3"/>
  <c r="K298" i="3"/>
  <c r="J298" i="3"/>
  <c r="I298" i="3"/>
  <c r="J297" i="3"/>
  <c r="I297" i="3"/>
  <c r="K297" i="3" s="1"/>
  <c r="J296" i="3"/>
  <c r="I296" i="3"/>
  <c r="K296" i="3" s="1"/>
  <c r="J295" i="3"/>
  <c r="I295" i="3"/>
  <c r="K295" i="3" s="1"/>
  <c r="K294" i="3"/>
  <c r="J294" i="3"/>
  <c r="I294" i="3"/>
  <c r="K293" i="3"/>
  <c r="J293" i="3"/>
  <c r="I293" i="3"/>
  <c r="J292" i="3"/>
  <c r="I292" i="3"/>
  <c r="K292" i="3" s="1"/>
  <c r="J291" i="3"/>
  <c r="I291" i="3"/>
  <c r="K291" i="3" s="1"/>
  <c r="J290" i="3"/>
  <c r="I290" i="3"/>
  <c r="K290" i="3" s="1"/>
  <c r="K289" i="3"/>
  <c r="J289" i="3"/>
  <c r="I289" i="3"/>
  <c r="K288" i="3"/>
  <c r="J288" i="3"/>
  <c r="I288" i="3"/>
  <c r="J287" i="3"/>
  <c r="I287" i="3"/>
  <c r="K287" i="3" s="1"/>
  <c r="J286" i="3"/>
  <c r="I286" i="3"/>
  <c r="K286" i="3" s="1"/>
  <c r="J285" i="3"/>
  <c r="I285" i="3"/>
  <c r="K285" i="3" s="1"/>
  <c r="K284" i="3"/>
  <c r="J284" i="3"/>
  <c r="I284" i="3"/>
  <c r="K283" i="3"/>
  <c r="J283" i="3"/>
  <c r="I283" i="3"/>
  <c r="J282" i="3"/>
  <c r="I282" i="3"/>
  <c r="K282" i="3" s="1"/>
  <c r="J281" i="3"/>
  <c r="I281" i="3"/>
  <c r="K281" i="3" s="1"/>
  <c r="J280" i="3"/>
  <c r="I280" i="3"/>
  <c r="K280" i="3" s="1"/>
  <c r="K279" i="3"/>
  <c r="J279" i="3"/>
  <c r="I279" i="3"/>
  <c r="K278" i="3"/>
  <c r="J278" i="3"/>
  <c r="I278" i="3"/>
  <c r="J277" i="3"/>
  <c r="I277" i="3"/>
  <c r="K277" i="3" s="1"/>
  <c r="J276" i="3"/>
  <c r="I276" i="3"/>
  <c r="K276" i="3" s="1"/>
  <c r="J275" i="3"/>
  <c r="I275" i="3"/>
  <c r="K275" i="3" s="1"/>
  <c r="K274" i="3"/>
  <c r="J274" i="3"/>
  <c r="I274" i="3"/>
  <c r="K273" i="3"/>
  <c r="J273" i="3"/>
  <c r="I273" i="3"/>
  <c r="J272" i="3"/>
  <c r="I272" i="3"/>
  <c r="K272" i="3" s="1"/>
  <c r="J271" i="3"/>
  <c r="I271" i="3"/>
  <c r="K271" i="3" s="1"/>
  <c r="J270" i="3"/>
  <c r="I270" i="3"/>
  <c r="K270" i="3" s="1"/>
  <c r="K269" i="3"/>
  <c r="J269" i="3"/>
  <c r="I269" i="3"/>
  <c r="K268" i="3"/>
  <c r="J268" i="3"/>
  <c r="I268" i="3"/>
  <c r="J267" i="3"/>
  <c r="I267" i="3"/>
  <c r="K267" i="3" s="1"/>
  <c r="J266" i="3"/>
  <c r="I266" i="3"/>
  <c r="K266" i="3" s="1"/>
  <c r="J265" i="3"/>
  <c r="I265" i="3"/>
  <c r="K265" i="3" s="1"/>
  <c r="K264" i="3"/>
  <c r="J264" i="3"/>
  <c r="I264" i="3"/>
  <c r="K263" i="3"/>
  <c r="J263" i="3"/>
  <c r="I263" i="3"/>
  <c r="J262" i="3"/>
  <c r="I262" i="3"/>
  <c r="K262" i="3" s="1"/>
  <c r="J261" i="3"/>
  <c r="I261" i="3"/>
  <c r="K261" i="3" s="1"/>
  <c r="J260" i="3"/>
  <c r="I260" i="3"/>
  <c r="K260" i="3" s="1"/>
  <c r="K259" i="3"/>
  <c r="J259" i="3"/>
  <c r="I259" i="3"/>
  <c r="K258" i="3"/>
  <c r="J258" i="3"/>
  <c r="I258" i="3"/>
  <c r="J257" i="3"/>
  <c r="I257" i="3"/>
  <c r="K257" i="3" s="1"/>
  <c r="J256" i="3"/>
  <c r="I256" i="3"/>
  <c r="K256" i="3" s="1"/>
  <c r="J255" i="3"/>
  <c r="I255" i="3"/>
  <c r="K255" i="3" s="1"/>
  <c r="K254" i="3"/>
  <c r="J254" i="3"/>
  <c r="I254" i="3"/>
  <c r="K253" i="3"/>
  <c r="J253" i="3"/>
  <c r="I253" i="3"/>
  <c r="J252" i="3"/>
  <c r="I252" i="3"/>
  <c r="K252" i="3" s="1"/>
  <c r="J251" i="3"/>
  <c r="I251" i="3"/>
  <c r="K251" i="3" s="1"/>
  <c r="J250" i="3"/>
  <c r="I250" i="3"/>
  <c r="K250" i="3" s="1"/>
  <c r="K249" i="3"/>
  <c r="J249" i="3"/>
  <c r="I249" i="3"/>
  <c r="K248" i="3"/>
  <c r="J248" i="3"/>
  <c r="I248" i="3"/>
  <c r="J247" i="3"/>
  <c r="I247" i="3"/>
  <c r="K247" i="3" s="1"/>
  <c r="J246" i="3"/>
  <c r="I246" i="3"/>
  <c r="K246" i="3" s="1"/>
  <c r="J245" i="3"/>
  <c r="I245" i="3"/>
  <c r="K245" i="3" s="1"/>
  <c r="K244" i="3"/>
  <c r="J244" i="3"/>
  <c r="I244" i="3"/>
  <c r="K243" i="3"/>
  <c r="J243" i="3"/>
  <c r="I243" i="3"/>
  <c r="J242" i="3"/>
  <c r="I242" i="3"/>
  <c r="K242" i="3" s="1"/>
  <c r="J241" i="3"/>
  <c r="I241" i="3"/>
  <c r="K241" i="3" s="1"/>
  <c r="J240" i="3"/>
  <c r="I240" i="3"/>
  <c r="K240" i="3" s="1"/>
  <c r="K239" i="3"/>
  <c r="J239" i="3"/>
  <c r="I239" i="3"/>
  <c r="K238" i="3"/>
  <c r="J238" i="3"/>
  <c r="I238" i="3"/>
  <c r="J237" i="3"/>
  <c r="I237" i="3"/>
  <c r="K237" i="3" s="1"/>
  <c r="J236" i="3"/>
  <c r="I236" i="3"/>
  <c r="K236" i="3" s="1"/>
  <c r="J235" i="3"/>
  <c r="I235" i="3"/>
  <c r="K235" i="3" s="1"/>
  <c r="K234" i="3"/>
  <c r="J234" i="3"/>
  <c r="I234" i="3"/>
  <c r="K233" i="3"/>
  <c r="J233" i="3"/>
  <c r="I233" i="3"/>
  <c r="J232" i="3"/>
  <c r="I232" i="3"/>
  <c r="K232" i="3" s="1"/>
  <c r="J231" i="3"/>
  <c r="I231" i="3"/>
  <c r="K231" i="3" s="1"/>
  <c r="J230" i="3"/>
  <c r="I230" i="3"/>
  <c r="K230" i="3" s="1"/>
  <c r="K229" i="3"/>
  <c r="J229" i="3"/>
  <c r="I229" i="3"/>
  <c r="K228" i="3"/>
  <c r="J228" i="3"/>
  <c r="I228" i="3"/>
  <c r="J227" i="3"/>
  <c r="I227" i="3"/>
  <c r="K227" i="3" s="1"/>
  <c r="J226" i="3"/>
  <c r="I226" i="3"/>
  <c r="K226" i="3" s="1"/>
  <c r="J225" i="3"/>
  <c r="I225" i="3"/>
  <c r="K225" i="3" s="1"/>
  <c r="K224" i="3"/>
  <c r="J224" i="3"/>
  <c r="I224" i="3"/>
  <c r="K223" i="3"/>
  <c r="J223" i="3"/>
  <c r="I223" i="3"/>
  <c r="J222" i="3"/>
  <c r="I222" i="3"/>
  <c r="K222" i="3" s="1"/>
  <c r="J221" i="3"/>
  <c r="I221" i="3"/>
  <c r="K221" i="3" s="1"/>
  <c r="J220" i="3"/>
  <c r="I220" i="3"/>
  <c r="K220" i="3" s="1"/>
  <c r="K219" i="3"/>
  <c r="J219" i="3"/>
  <c r="I219" i="3"/>
  <c r="K218" i="3"/>
  <c r="J218" i="3"/>
  <c r="I218" i="3"/>
  <c r="J217" i="3"/>
  <c r="I217" i="3"/>
  <c r="K217" i="3" s="1"/>
  <c r="J216" i="3"/>
  <c r="I216" i="3"/>
  <c r="K216" i="3" s="1"/>
  <c r="J215" i="3"/>
  <c r="I215" i="3"/>
  <c r="K215" i="3" s="1"/>
  <c r="K214" i="3"/>
  <c r="J214" i="3"/>
  <c r="I214" i="3"/>
  <c r="K213" i="3"/>
  <c r="J213" i="3"/>
  <c r="I213" i="3"/>
  <c r="J212" i="3"/>
  <c r="I212" i="3"/>
  <c r="K212" i="3" s="1"/>
  <c r="J211" i="3"/>
  <c r="I211" i="3"/>
  <c r="K211" i="3" s="1"/>
  <c r="J210" i="3"/>
  <c r="I210" i="3"/>
  <c r="K210" i="3" s="1"/>
  <c r="K209" i="3"/>
  <c r="J209" i="3"/>
  <c r="I209" i="3"/>
  <c r="K208" i="3"/>
  <c r="J208" i="3"/>
  <c r="I208" i="3"/>
  <c r="J207" i="3"/>
  <c r="I207" i="3"/>
  <c r="K207" i="3" s="1"/>
  <c r="J206" i="3"/>
  <c r="I206" i="3"/>
  <c r="K206" i="3" s="1"/>
  <c r="J205" i="3"/>
  <c r="I205" i="3"/>
  <c r="K205" i="3" s="1"/>
  <c r="K204" i="3"/>
  <c r="J204" i="3"/>
  <c r="I204" i="3"/>
  <c r="K203" i="3"/>
  <c r="J203" i="3"/>
  <c r="I203" i="3"/>
  <c r="J202" i="3"/>
  <c r="I202" i="3"/>
  <c r="K202" i="3" s="1"/>
  <c r="J201" i="3"/>
  <c r="I201" i="3"/>
  <c r="K201" i="3" s="1"/>
  <c r="J200" i="3"/>
  <c r="I200" i="3"/>
  <c r="K200" i="3" s="1"/>
  <c r="K199" i="3"/>
  <c r="J199" i="3"/>
  <c r="I199" i="3"/>
  <c r="K198" i="3"/>
  <c r="J198" i="3"/>
  <c r="I198" i="3"/>
  <c r="J197" i="3"/>
  <c r="I197" i="3"/>
  <c r="K197" i="3" s="1"/>
  <c r="J196" i="3"/>
  <c r="I196" i="3"/>
  <c r="K196" i="3" s="1"/>
  <c r="J195" i="3"/>
  <c r="I195" i="3"/>
  <c r="K195" i="3" s="1"/>
  <c r="K194" i="3"/>
  <c r="J194" i="3"/>
  <c r="I194" i="3"/>
  <c r="K193" i="3"/>
  <c r="J193" i="3"/>
  <c r="I193" i="3"/>
  <c r="J192" i="3"/>
  <c r="I192" i="3"/>
  <c r="K192" i="3" s="1"/>
  <c r="J191" i="3"/>
  <c r="I191" i="3"/>
  <c r="K191" i="3" s="1"/>
  <c r="J190" i="3"/>
  <c r="I190" i="3"/>
  <c r="K190" i="3" s="1"/>
  <c r="K189" i="3"/>
  <c r="J189" i="3"/>
  <c r="I189" i="3"/>
  <c r="K188" i="3"/>
  <c r="J188" i="3"/>
  <c r="I188" i="3"/>
  <c r="J187" i="3"/>
  <c r="I187" i="3"/>
  <c r="K187" i="3" s="1"/>
  <c r="J186" i="3"/>
  <c r="I186" i="3"/>
  <c r="K186" i="3" s="1"/>
  <c r="J185" i="3"/>
  <c r="I185" i="3"/>
  <c r="K185" i="3" s="1"/>
  <c r="K184" i="3"/>
  <c r="J184" i="3"/>
  <c r="I184" i="3"/>
  <c r="K183" i="3"/>
  <c r="J183" i="3"/>
  <c r="I183" i="3"/>
  <c r="J182" i="3"/>
  <c r="I182" i="3"/>
  <c r="K182" i="3" s="1"/>
  <c r="J181" i="3"/>
  <c r="I181" i="3"/>
  <c r="K181" i="3" s="1"/>
  <c r="J180" i="3"/>
  <c r="I180" i="3"/>
  <c r="K180" i="3" s="1"/>
  <c r="K179" i="3"/>
  <c r="J179" i="3"/>
  <c r="I179" i="3"/>
  <c r="K178" i="3"/>
  <c r="J178" i="3"/>
  <c r="I178" i="3"/>
  <c r="J177" i="3"/>
  <c r="I177" i="3"/>
  <c r="K177" i="3" s="1"/>
  <c r="J176" i="3"/>
  <c r="I176" i="3"/>
  <c r="K176" i="3" s="1"/>
  <c r="J175" i="3"/>
  <c r="I175" i="3"/>
  <c r="K175" i="3" s="1"/>
  <c r="K174" i="3"/>
  <c r="J174" i="3"/>
  <c r="I174" i="3"/>
  <c r="K173" i="3"/>
  <c r="J173" i="3"/>
  <c r="I173" i="3"/>
  <c r="J172" i="3"/>
  <c r="I172" i="3"/>
  <c r="K172" i="3" s="1"/>
  <c r="J171" i="3"/>
  <c r="I171" i="3"/>
  <c r="K171" i="3" s="1"/>
  <c r="J170" i="3"/>
  <c r="I170" i="3"/>
  <c r="K170" i="3" s="1"/>
  <c r="K169" i="3"/>
  <c r="J169" i="3"/>
  <c r="I169" i="3"/>
  <c r="K168" i="3"/>
  <c r="J168" i="3"/>
  <c r="I168" i="3"/>
  <c r="J167" i="3"/>
  <c r="I167" i="3"/>
  <c r="K167" i="3" s="1"/>
  <c r="J166" i="3"/>
  <c r="I166" i="3"/>
  <c r="K166" i="3" s="1"/>
  <c r="J165" i="3"/>
  <c r="I165" i="3"/>
  <c r="K165" i="3" s="1"/>
  <c r="K164" i="3"/>
  <c r="J164" i="3"/>
  <c r="I164" i="3"/>
  <c r="K163" i="3"/>
  <c r="J163" i="3"/>
  <c r="I163" i="3"/>
  <c r="J162" i="3"/>
  <c r="I162" i="3"/>
  <c r="K162" i="3" s="1"/>
  <c r="J161" i="3"/>
  <c r="I161" i="3"/>
  <c r="K161" i="3" s="1"/>
  <c r="J160" i="3"/>
  <c r="I160" i="3"/>
  <c r="K160" i="3" s="1"/>
  <c r="K159" i="3"/>
  <c r="J159" i="3"/>
  <c r="I159" i="3"/>
  <c r="K158" i="3"/>
  <c r="J158" i="3"/>
  <c r="I158" i="3"/>
  <c r="J157" i="3"/>
  <c r="I157" i="3"/>
  <c r="K157" i="3" s="1"/>
  <c r="J156" i="3"/>
  <c r="I156" i="3"/>
  <c r="K156" i="3" s="1"/>
  <c r="J155" i="3"/>
  <c r="I155" i="3"/>
  <c r="K155" i="3" s="1"/>
  <c r="K154" i="3"/>
  <c r="J154" i="3"/>
  <c r="I154" i="3"/>
  <c r="K153" i="3"/>
  <c r="J153" i="3"/>
  <c r="I153" i="3"/>
  <c r="J152" i="3"/>
  <c r="I152" i="3"/>
  <c r="K152" i="3" s="1"/>
  <c r="J151" i="3"/>
  <c r="I151" i="3"/>
  <c r="K151" i="3" s="1"/>
  <c r="J150" i="3"/>
  <c r="I150" i="3"/>
  <c r="K150" i="3" s="1"/>
  <c r="K149" i="3"/>
  <c r="J149" i="3"/>
  <c r="I149" i="3"/>
  <c r="K148" i="3"/>
  <c r="J148" i="3"/>
  <c r="I148" i="3"/>
  <c r="J147" i="3"/>
  <c r="I147" i="3"/>
  <c r="K147" i="3" s="1"/>
  <c r="J146" i="3"/>
  <c r="I146" i="3"/>
  <c r="K146" i="3" s="1"/>
  <c r="J145" i="3"/>
  <c r="I145" i="3"/>
  <c r="K145" i="3" s="1"/>
  <c r="K144" i="3"/>
  <c r="J144" i="3"/>
  <c r="I144" i="3"/>
  <c r="K143" i="3"/>
  <c r="J143" i="3"/>
  <c r="I143" i="3"/>
  <c r="J142" i="3"/>
  <c r="I142" i="3"/>
  <c r="K142" i="3" s="1"/>
  <c r="J141" i="3"/>
  <c r="I141" i="3"/>
  <c r="K141" i="3" s="1"/>
  <c r="J140" i="3"/>
  <c r="I140" i="3"/>
  <c r="K140" i="3" s="1"/>
  <c r="K139" i="3"/>
  <c r="J139" i="3"/>
  <c r="I139" i="3"/>
  <c r="K138" i="3"/>
  <c r="J138" i="3"/>
  <c r="I138" i="3"/>
  <c r="J137" i="3"/>
  <c r="I137" i="3"/>
  <c r="K137" i="3" s="1"/>
  <c r="J136" i="3"/>
  <c r="I136" i="3"/>
  <c r="K136" i="3" s="1"/>
  <c r="J135" i="3"/>
  <c r="I135" i="3"/>
  <c r="K135" i="3" s="1"/>
  <c r="K134" i="3"/>
  <c r="J134" i="3"/>
  <c r="I134" i="3"/>
  <c r="K133" i="3"/>
  <c r="J133" i="3"/>
  <c r="I133" i="3"/>
  <c r="J132" i="3"/>
  <c r="I132" i="3"/>
  <c r="K132" i="3" s="1"/>
  <c r="J131" i="3"/>
  <c r="I131" i="3"/>
  <c r="K131" i="3" s="1"/>
  <c r="J130" i="3"/>
  <c r="I130" i="3"/>
  <c r="K130" i="3" s="1"/>
  <c r="K129" i="3"/>
  <c r="J129" i="3"/>
  <c r="I129" i="3"/>
  <c r="K128" i="3"/>
  <c r="J128" i="3"/>
  <c r="I128" i="3"/>
  <c r="J127" i="3"/>
  <c r="I127" i="3"/>
  <c r="K127" i="3" s="1"/>
  <c r="J126" i="3"/>
  <c r="I126" i="3"/>
  <c r="K126" i="3" s="1"/>
  <c r="J125" i="3"/>
  <c r="I125" i="3"/>
  <c r="K125" i="3" s="1"/>
  <c r="K124" i="3"/>
  <c r="J124" i="3"/>
  <c r="I124" i="3"/>
  <c r="K123" i="3"/>
  <c r="J123" i="3"/>
  <c r="I123" i="3"/>
  <c r="J122" i="3"/>
  <c r="I122" i="3"/>
  <c r="K122" i="3" s="1"/>
  <c r="J121" i="3"/>
  <c r="I121" i="3"/>
  <c r="K121" i="3" s="1"/>
  <c r="J120" i="3"/>
  <c r="I120" i="3"/>
  <c r="K120" i="3" s="1"/>
  <c r="K119" i="3"/>
  <c r="J119" i="3"/>
  <c r="I119" i="3"/>
  <c r="K118" i="3"/>
  <c r="J118" i="3"/>
  <c r="I118" i="3"/>
  <c r="K117" i="3"/>
  <c r="J117" i="3"/>
  <c r="I117" i="3"/>
  <c r="J116" i="3"/>
  <c r="I116" i="3"/>
  <c r="K116" i="3" s="1"/>
  <c r="J115" i="3"/>
  <c r="I115" i="3"/>
  <c r="K115" i="3" s="1"/>
  <c r="K114" i="3"/>
  <c r="J114" i="3"/>
  <c r="I114" i="3"/>
  <c r="K113" i="3"/>
  <c r="J113" i="3"/>
  <c r="I113" i="3"/>
  <c r="J112" i="3"/>
  <c r="I112" i="3"/>
  <c r="K112" i="3" s="1"/>
  <c r="J111" i="3"/>
  <c r="I111" i="3"/>
  <c r="K111" i="3" s="1"/>
  <c r="J110" i="3"/>
  <c r="I110" i="3"/>
  <c r="K110" i="3" s="1"/>
  <c r="K109" i="3"/>
  <c r="J109" i="3"/>
  <c r="I109" i="3"/>
  <c r="K108" i="3"/>
  <c r="J108" i="3"/>
  <c r="I108" i="3"/>
  <c r="J107" i="3"/>
  <c r="I107" i="3"/>
  <c r="K107" i="3" s="1"/>
  <c r="J106" i="3"/>
  <c r="I106" i="3"/>
  <c r="K106" i="3" s="1"/>
  <c r="J105" i="3"/>
  <c r="I105" i="3"/>
  <c r="K105" i="3" s="1"/>
  <c r="K104" i="3"/>
  <c r="J104" i="3"/>
  <c r="I104" i="3"/>
  <c r="K103" i="3"/>
  <c r="J103" i="3"/>
  <c r="I103" i="3"/>
  <c r="K102" i="3"/>
  <c r="J102" i="3"/>
  <c r="I102" i="3"/>
  <c r="J101" i="3"/>
  <c r="I101" i="3"/>
  <c r="K101" i="3" s="1"/>
  <c r="J100" i="3"/>
  <c r="I100" i="3"/>
  <c r="K100" i="3" s="1"/>
  <c r="K99" i="3"/>
  <c r="J99" i="3"/>
  <c r="I99" i="3"/>
  <c r="K98" i="3"/>
  <c r="J98" i="3"/>
  <c r="I98" i="3"/>
  <c r="J97" i="3"/>
  <c r="I97" i="3"/>
  <c r="K97" i="3" s="1"/>
  <c r="J96" i="3"/>
  <c r="I96" i="3"/>
  <c r="K96" i="3" s="1"/>
  <c r="J95" i="3"/>
  <c r="I95" i="3"/>
  <c r="K95" i="3" s="1"/>
  <c r="K94" i="3"/>
  <c r="J94" i="3"/>
  <c r="I94" i="3"/>
  <c r="K93" i="3"/>
  <c r="J93" i="3"/>
  <c r="I93" i="3"/>
  <c r="J92" i="3"/>
  <c r="I92" i="3"/>
  <c r="K92" i="3" s="1"/>
  <c r="J91" i="3"/>
  <c r="I91" i="3"/>
  <c r="K91" i="3" s="1"/>
  <c r="J90" i="3"/>
  <c r="I90" i="3"/>
  <c r="K90" i="3" s="1"/>
  <c r="K89" i="3"/>
  <c r="J89" i="3"/>
  <c r="I89" i="3"/>
  <c r="K88" i="3"/>
  <c r="J88" i="3"/>
  <c r="I88" i="3"/>
  <c r="J87" i="3"/>
  <c r="I87" i="3"/>
  <c r="K87" i="3" s="1"/>
  <c r="J86" i="3"/>
  <c r="I86" i="3"/>
  <c r="K86" i="3" s="1"/>
  <c r="J85" i="3"/>
  <c r="I85" i="3"/>
  <c r="K85" i="3" s="1"/>
  <c r="K84" i="3"/>
  <c r="J84" i="3"/>
  <c r="I84" i="3"/>
  <c r="K83" i="3"/>
  <c r="J83" i="3"/>
  <c r="I83" i="3"/>
  <c r="J82" i="3"/>
  <c r="I82" i="3"/>
  <c r="K82" i="3" s="1"/>
  <c r="J81" i="3"/>
  <c r="I81" i="3"/>
  <c r="K81" i="3" s="1"/>
  <c r="J80" i="3"/>
  <c r="I80" i="3"/>
  <c r="K80" i="3" s="1"/>
  <c r="K79" i="3"/>
  <c r="J79" i="3"/>
  <c r="I79" i="3"/>
  <c r="K78" i="3"/>
  <c r="J78" i="3"/>
  <c r="I78" i="3"/>
  <c r="J77" i="3"/>
  <c r="I77" i="3"/>
  <c r="K77" i="3" s="1"/>
  <c r="J76" i="3"/>
  <c r="I76" i="3"/>
  <c r="K76" i="3" s="1"/>
  <c r="J75" i="3"/>
  <c r="I75" i="3"/>
  <c r="K75" i="3" s="1"/>
  <c r="K74" i="3"/>
  <c r="J74" i="3"/>
  <c r="I74" i="3"/>
  <c r="K73" i="3"/>
  <c r="J73" i="3"/>
  <c r="I73" i="3"/>
  <c r="J72" i="3"/>
  <c r="I72" i="3"/>
  <c r="K72" i="3" s="1"/>
  <c r="J71" i="3"/>
  <c r="I71" i="3"/>
  <c r="K71" i="3" s="1"/>
  <c r="J70" i="3"/>
  <c r="I70" i="3"/>
  <c r="K70" i="3" s="1"/>
  <c r="K69" i="3"/>
  <c r="J69" i="3"/>
  <c r="I69" i="3"/>
  <c r="K68" i="3"/>
  <c r="J68" i="3"/>
  <c r="I68" i="3"/>
  <c r="K67" i="3"/>
  <c r="J67" i="3"/>
  <c r="I67" i="3"/>
  <c r="J66" i="3"/>
  <c r="I66" i="3"/>
  <c r="K66" i="3" s="1"/>
  <c r="J65" i="3"/>
  <c r="I65" i="3"/>
  <c r="K65" i="3" s="1"/>
  <c r="K64" i="3"/>
  <c r="J64" i="3"/>
  <c r="I64" i="3"/>
  <c r="K63" i="3"/>
  <c r="J63" i="3"/>
  <c r="I63" i="3"/>
  <c r="J62" i="3"/>
  <c r="I62" i="3"/>
  <c r="K62" i="3" s="1"/>
  <c r="J61" i="3"/>
  <c r="I61" i="3"/>
  <c r="K61" i="3" s="1"/>
  <c r="J60" i="3"/>
  <c r="I60" i="3"/>
  <c r="K60" i="3" s="1"/>
  <c r="K59" i="3"/>
  <c r="J59" i="3"/>
  <c r="I59" i="3"/>
  <c r="K58" i="3"/>
  <c r="J58" i="3"/>
  <c r="I58" i="3"/>
  <c r="J57" i="3"/>
  <c r="I57" i="3"/>
  <c r="K57" i="3" s="1"/>
  <c r="J56" i="3"/>
  <c r="I56" i="3"/>
  <c r="K56" i="3" s="1"/>
  <c r="J55" i="3"/>
  <c r="I55" i="3"/>
  <c r="K55" i="3" s="1"/>
  <c r="K54" i="3"/>
  <c r="J54" i="3"/>
  <c r="I54" i="3"/>
  <c r="K53" i="3"/>
  <c r="J53" i="3"/>
  <c r="I53" i="3"/>
  <c r="K52" i="3"/>
  <c r="J52" i="3"/>
  <c r="I52" i="3"/>
  <c r="J51" i="3"/>
  <c r="I51" i="3"/>
  <c r="K51" i="3" s="1"/>
  <c r="J50" i="3"/>
  <c r="I50" i="3"/>
  <c r="K50" i="3" s="1"/>
  <c r="K49" i="3"/>
  <c r="J49" i="3"/>
  <c r="I49" i="3"/>
  <c r="K48" i="3"/>
  <c r="J48" i="3"/>
  <c r="I48" i="3"/>
  <c r="J47" i="3"/>
  <c r="I47" i="3"/>
  <c r="K47" i="3" s="1"/>
  <c r="J46" i="3"/>
  <c r="I46" i="3"/>
  <c r="K46" i="3" s="1"/>
  <c r="J45" i="3"/>
  <c r="I45" i="3"/>
  <c r="K45" i="3" s="1"/>
  <c r="K44" i="3"/>
  <c r="J44" i="3"/>
  <c r="I44" i="3"/>
  <c r="K43" i="3"/>
  <c r="J43" i="3"/>
  <c r="I43" i="3"/>
  <c r="J42" i="3"/>
  <c r="I42" i="3"/>
  <c r="K42" i="3" s="1"/>
  <c r="J41" i="3"/>
  <c r="I41" i="3"/>
  <c r="K41" i="3" s="1"/>
  <c r="J40" i="3"/>
  <c r="I40" i="3"/>
  <c r="K40" i="3" s="1"/>
  <c r="K39" i="3"/>
  <c r="J39" i="3"/>
  <c r="I39" i="3"/>
  <c r="K38" i="3"/>
  <c r="J38" i="3"/>
  <c r="I38" i="3"/>
  <c r="J37" i="3"/>
  <c r="I37" i="3"/>
  <c r="K37" i="3" s="1"/>
  <c r="J36" i="3"/>
  <c r="I36" i="3"/>
  <c r="K36" i="3" s="1"/>
  <c r="J35" i="3"/>
  <c r="I35" i="3"/>
  <c r="K35" i="3" s="1"/>
  <c r="K34" i="3"/>
  <c r="J34" i="3"/>
  <c r="I34" i="3"/>
  <c r="K33" i="3"/>
  <c r="J33" i="3"/>
  <c r="I33" i="3"/>
  <c r="J32" i="3"/>
  <c r="I32" i="3"/>
  <c r="K32" i="3" s="1"/>
  <c r="J31" i="3"/>
  <c r="I31" i="3"/>
  <c r="K31" i="3" s="1"/>
  <c r="J30" i="3"/>
  <c r="I30" i="3"/>
  <c r="K30" i="3" s="1"/>
  <c r="K29" i="3"/>
  <c r="J29" i="3"/>
  <c r="I29" i="3"/>
  <c r="K28" i="3"/>
  <c r="J28" i="3"/>
  <c r="I28" i="3"/>
  <c r="J27" i="3"/>
  <c r="I27" i="3"/>
  <c r="K27" i="3" s="1"/>
  <c r="J26" i="3"/>
  <c r="I26" i="3"/>
  <c r="K26" i="3" s="1"/>
  <c r="J25" i="3"/>
  <c r="I25" i="3"/>
  <c r="K25" i="3" s="1"/>
  <c r="K24" i="3"/>
  <c r="J24" i="3"/>
  <c r="I24" i="3"/>
  <c r="K23" i="3"/>
  <c r="J23" i="3"/>
  <c r="I23" i="3"/>
  <c r="J22" i="3"/>
  <c r="I22" i="3"/>
  <c r="K22" i="3" s="1"/>
  <c r="J21" i="3"/>
  <c r="I21" i="3"/>
  <c r="K21" i="3" s="1"/>
  <c r="J20" i="3"/>
  <c r="I20" i="3"/>
  <c r="K20" i="3" s="1"/>
  <c r="K19" i="3"/>
  <c r="J19" i="3"/>
  <c r="I19" i="3"/>
  <c r="K18" i="3"/>
  <c r="J18" i="3"/>
  <c r="I18" i="3"/>
  <c r="K17" i="3"/>
  <c r="J17" i="3"/>
  <c r="I17" i="3"/>
  <c r="J16" i="3"/>
  <c r="I16" i="3"/>
  <c r="K16" i="3" s="1"/>
  <c r="J15" i="3"/>
  <c r="I15" i="3"/>
  <c r="K15" i="3" s="1"/>
  <c r="K14" i="3"/>
  <c r="J14" i="3"/>
  <c r="I14" i="3"/>
  <c r="K13" i="3"/>
  <c r="J13" i="3"/>
  <c r="I13" i="3"/>
  <c r="J12" i="3"/>
  <c r="I12" i="3"/>
  <c r="K12" i="3" s="1"/>
  <c r="J11" i="3"/>
  <c r="I11" i="3"/>
  <c r="K11" i="3" s="1"/>
  <c r="J10" i="3"/>
  <c r="I10" i="3"/>
  <c r="K10" i="3" s="1"/>
  <c r="K9" i="3"/>
  <c r="J9" i="3"/>
  <c r="I9" i="3"/>
  <c r="K8" i="3"/>
  <c r="J8" i="3"/>
  <c r="I8" i="3"/>
  <c r="J7" i="3"/>
  <c r="I7" i="3"/>
  <c r="K7" i="3" s="1"/>
  <c r="J6" i="3"/>
  <c r="I6" i="3"/>
  <c r="K6" i="3" s="1"/>
  <c r="J5" i="3"/>
  <c r="I5" i="3"/>
  <c r="K5" i="3" s="1"/>
  <c r="K4" i="3"/>
  <c r="J4" i="3"/>
  <c r="I4" i="3"/>
  <c r="K3" i="3"/>
  <c r="J3" i="3"/>
  <c r="I3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K2" i="3"/>
  <c r="J2" i="3"/>
  <c r="I2" i="3"/>
  <c r="B4" i="1"/>
  <c r="B5" i="1"/>
  <c r="B6" i="1"/>
  <c r="B7" i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" i="1"/>
  <c r="I2" i="1"/>
  <c r="K2" i="1" s="1"/>
  <c r="I3" i="1"/>
  <c r="K3" i="1" s="1"/>
  <c r="P3" i="1" s="1"/>
  <c r="M4" i="1"/>
  <c r="M3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Q272" i="1" s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2" i="1"/>
  <c r="I4" i="1"/>
  <c r="K4" i="1" s="1"/>
  <c r="P4" i="1" s="1"/>
  <c r="I5" i="1"/>
  <c r="K5" i="1" s="1"/>
  <c r="P5" i="1" s="1"/>
  <c r="I6" i="1"/>
  <c r="K6" i="1" s="1"/>
  <c r="P6" i="1" s="1"/>
  <c r="I7" i="1"/>
  <c r="K7" i="1" s="1"/>
  <c r="P7" i="1" s="1"/>
  <c r="I8" i="1"/>
  <c r="K8" i="1" s="1"/>
  <c r="P8" i="1" s="1"/>
  <c r="I9" i="1"/>
  <c r="K9" i="1" s="1"/>
  <c r="P9" i="1" s="1"/>
  <c r="I10" i="1"/>
  <c r="K10" i="1" s="1"/>
  <c r="P10" i="1" s="1"/>
  <c r="I11" i="1"/>
  <c r="K11" i="1" s="1"/>
  <c r="I12" i="1"/>
  <c r="K12" i="1" s="1"/>
  <c r="P12" i="1" s="1"/>
  <c r="I13" i="1"/>
  <c r="K13" i="1" s="1"/>
  <c r="P13" i="1" s="1"/>
  <c r="I14" i="1"/>
  <c r="K14" i="1" s="1"/>
  <c r="P14" i="1" s="1"/>
  <c r="I15" i="1"/>
  <c r="K15" i="1" s="1"/>
  <c r="P15" i="1" s="1"/>
  <c r="I16" i="1"/>
  <c r="K16" i="1" s="1"/>
  <c r="P16" i="1" s="1"/>
  <c r="I17" i="1"/>
  <c r="K17" i="1" s="1"/>
  <c r="P17" i="1" s="1"/>
  <c r="I18" i="1"/>
  <c r="K18" i="1" s="1"/>
  <c r="P18" i="1" s="1"/>
  <c r="I19" i="1"/>
  <c r="K19" i="1" s="1"/>
  <c r="P19" i="1" s="1"/>
  <c r="I20" i="1"/>
  <c r="K20" i="1" s="1"/>
  <c r="P20" i="1" s="1"/>
  <c r="I21" i="1"/>
  <c r="K21" i="1" s="1"/>
  <c r="P21" i="1" s="1"/>
  <c r="I22" i="1"/>
  <c r="K22" i="1" s="1"/>
  <c r="I23" i="1"/>
  <c r="K23" i="1" s="1"/>
  <c r="P23" i="1" s="1"/>
  <c r="I24" i="1"/>
  <c r="K24" i="1" s="1"/>
  <c r="P24" i="1" s="1"/>
  <c r="I25" i="1"/>
  <c r="K25" i="1" s="1"/>
  <c r="P25" i="1" s="1"/>
  <c r="I26" i="1"/>
  <c r="K26" i="1" s="1"/>
  <c r="P26" i="1" s="1"/>
  <c r="I27" i="1"/>
  <c r="K27" i="1" s="1"/>
  <c r="P27" i="1" s="1"/>
  <c r="I28" i="1"/>
  <c r="K28" i="1" s="1"/>
  <c r="P28" i="1" s="1"/>
  <c r="I29" i="1"/>
  <c r="K29" i="1" s="1"/>
  <c r="P29" i="1" s="1"/>
  <c r="I30" i="1"/>
  <c r="K30" i="1" s="1"/>
  <c r="P30" i="1" s="1"/>
  <c r="I31" i="1"/>
  <c r="K31" i="1" s="1"/>
  <c r="P31" i="1" s="1"/>
  <c r="I32" i="1"/>
  <c r="I33" i="1"/>
  <c r="K33" i="1" s="1"/>
  <c r="P33" i="1" s="1"/>
  <c r="I34" i="1"/>
  <c r="K34" i="1" s="1"/>
  <c r="P34" i="1" s="1"/>
  <c r="I35" i="1"/>
  <c r="K35" i="1" s="1"/>
  <c r="P35" i="1" s="1"/>
  <c r="I36" i="1"/>
  <c r="K36" i="1" s="1"/>
  <c r="P36" i="1" s="1"/>
  <c r="I37" i="1"/>
  <c r="K37" i="1" s="1"/>
  <c r="P37" i="1" s="1"/>
  <c r="I38" i="1"/>
  <c r="K38" i="1" s="1"/>
  <c r="P38" i="1" s="1"/>
  <c r="I39" i="1"/>
  <c r="K39" i="1" s="1"/>
  <c r="P39" i="1" s="1"/>
  <c r="I40" i="1"/>
  <c r="K40" i="1" s="1"/>
  <c r="P40" i="1" s="1"/>
  <c r="I41" i="1"/>
  <c r="K41" i="1" s="1"/>
  <c r="P41" i="1" s="1"/>
  <c r="I42" i="1"/>
  <c r="K42" i="1" s="1"/>
  <c r="P42" i="1" s="1"/>
  <c r="I43" i="1"/>
  <c r="K43" i="1" s="1"/>
  <c r="P43" i="1" s="1"/>
  <c r="I44" i="1"/>
  <c r="K44" i="1" s="1"/>
  <c r="P44" i="1" s="1"/>
  <c r="I45" i="1"/>
  <c r="K45" i="1" s="1"/>
  <c r="P45" i="1" s="1"/>
  <c r="I46" i="1"/>
  <c r="K46" i="1" s="1"/>
  <c r="P46" i="1" s="1"/>
  <c r="I47" i="1"/>
  <c r="K47" i="1" s="1"/>
  <c r="P47" i="1" s="1"/>
  <c r="I48" i="1"/>
  <c r="K48" i="1" s="1"/>
  <c r="P48" i="1" s="1"/>
  <c r="I49" i="1"/>
  <c r="K49" i="1" s="1"/>
  <c r="I50" i="1"/>
  <c r="K50" i="1" s="1"/>
  <c r="P50" i="1" s="1"/>
  <c r="I51" i="1"/>
  <c r="K51" i="1" s="1"/>
  <c r="P51" i="1" s="1"/>
  <c r="I52" i="1"/>
  <c r="K52" i="1" s="1"/>
  <c r="I53" i="1"/>
  <c r="K53" i="1" s="1"/>
  <c r="P53" i="1" s="1"/>
  <c r="I54" i="1"/>
  <c r="K54" i="1" s="1"/>
  <c r="P54" i="1" s="1"/>
  <c r="I55" i="1"/>
  <c r="K55" i="1" s="1"/>
  <c r="P55" i="1" s="1"/>
  <c r="I56" i="1"/>
  <c r="K56" i="1" s="1"/>
  <c r="P56" i="1" s="1"/>
  <c r="I57" i="1"/>
  <c r="K57" i="1" s="1"/>
  <c r="P57" i="1" s="1"/>
  <c r="I58" i="1"/>
  <c r="K58" i="1" s="1"/>
  <c r="P58" i="1" s="1"/>
  <c r="I59" i="1"/>
  <c r="K59" i="1" s="1"/>
  <c r="P59" i="1" s="1"/>
  <c r="I60" i="1"/>
  <c r="K60" i="1" s="1"/>
  <c r="P60" i="1" s="1"/>
  <c r="I61" i="1"/>
  <c r="K61" i="1" s="1"/>
  <c r="P61" i="1" s="1"/>
  <c r="I62" i="1"/>
  <c r="K62" i="1" s="1"/>
  <c r="P62" i="1" s="1"/>
  <c r="I63" i="1"/>
  <c r="K63" i="1" s="1"/>
  <c r="I64" i="1"/>
  <c r="K64" i="1" s="1"/>
  <c r="P64" i="1" s="1"/>
  <c r="I65" i="1"/>
  <c r="K65" i="1" s="1"/>
  <c r="P65" i="1" s="1"/>
  <c r="I66" i="1"/>
  <c r="I67" i="1"/>
  <c r="K67" i="1" s="1"/>
  <c r="P67" i="1" s="1"/>
  <c r="I68" i="1"/>
  <c r="K68" i="1" s="1"/>
  <c r="P68" i="1" s="1"/>
  <c r="I69" i="1"/>
  <c r="K69" i="1" s="1"/>
  <c r="P69" i="1" s="1"/>
  <c r="I70" i="1"/>
  <c r="K70" i="1" s="1"/>
  <c r="P70" i="1" s="1"/>
  <c r="I71" i="1"/>
  <c r="K71" i="1" s="1"/>
  <c r="P71" i="1" s="1"/>
  <c r="I72" i="1"/>
  <c r="K72" i="1" s="1"/>
  <c r="P72" i="1" s="1"/>
  <c r="I73" i="1"/>
  <c r="K73" i="1" s="1"/>
  <c r="P73" i="1" s="1"/>
  <c r="I74" i="1"/>
  <c r="K74" i="1" s="1"/>
  <c r="P74" i="1" s="1"/>
  <c r="I75" i="1"/>
  <c r="K75" i="1" s="1"/>
  <c r="P75" i="1" s="1"/>
  <c r="I76" i="1"/>
  <c r="K76" i="1" s="1"/>
  <c r="P76" i="1" s="1"/>
  <c r="I77" i="1"/>
  <c r="K77" i="1" s="1"/>
  <c r="P77" i="1" s="1"/>
  <c r="I78" i="1"/>
  <c r="K78" i="1" s="1"/>
  <c r="P78" i="1" s="1"/>
  <c r="I79" i="1"/>
  <c r="K79" i="1" s="1"/>
  <c r="P79" i="1" s="1"/>
  <c r="I80" i="1"/>
  <c r="K80" i="1" s="1"/>
  <c r="P80" i="1" s="1"/>
  <c r="I81" i="1"/>
  <c r="K81" i="1" s="1"/>
  <c r="I82" i="1"/>
  <c r="I83" i="1"/>
  <c r="K83" i="1" s="1"/>
  <c r="P83" i="1" s="1"/>
  <c r="I84" i="1"/>
  <c r="K84" i="1" s="1"/>
  <c r="P84" i="1" s="1"/>
  <c r="I85" i="1"/>
  <c r="K85" i="1" s="1"/>
  <c r="P85" i="1" s="1"/>
  <c r="I86" i="1"/>
  <c r="K86" i="1" s="1"/>
  <c r="P86" i="1" s="1"/>
  <c r="I87" i="1"/>
  <c r="K87" i="1" s="1"/>
  <c r="P87" i="1" s="1"/>
  <c r="I88" i="1"/>
  <c r="K88" i="1" s="1"/>
  <c r="P88" i="1" s="1"/>
  <c r="I89" i="1"/>
  <c r="K89" i="1" s="1"/>
  <c r="P89" i="1" s="1"/>
  <c r="I90" i="1"/>
  <c r="K90" i="1" s="1"/>
  <c r="P90" i="1" s="1"/>
  <c r="I91" i="1"/>
  <c r="K91" i="1" s="1"/>
  <c r="P91" i="1" s="1"/>
  <c r="I92" i="1"/>
  <c r="K92" i="1" s="1"/>
  <c r="P92" i="1" s="1"/>
  <c r="I93" i="1"/>
  <c r="K93" i="1" s="1"/>
  <c r="P93" i="1" s="1"/>
  <c r="I94" i="1"/>
  <c r="K94" i="1" s="1"/>
  <c r="P94" i="1" s="1"/>
  <c r="I95" i="1"/>
  <c r="K95" i="1" s="1"/>
  <c r="P95" i="1" s="1"/>
  <c r="I96" i="1"/>
  <c r="K96" i="1" s="1"/>
  <c r="P96" i="1" s="1"/>
  <c r="I97" i="1"/>
  <c r="K97" i="1" s="1"/>
  <c r="P97" i="1" s="1"/>
  <c r="I98" i="1"/>
  <c r="K98" i="1" s="1"/>
  <c r="P98" i="1" s="1"/>
  <c r="I99" i="1"/>
  <c r="K99" i="1" s="1"/>
  <c r="P99" i="1" s="1"/>
  <c r="I100" i="1"/>
  <c r="K100" i="1" s="1"/>
  <c r="P100" i="1" s="1"/>
  <c r="I101" i="1"/>
  <c r="K101" i="1" s="1"/>
  <c r="P101" i="1" s="1"/>
  <c r="I102" i="1"/>
  <c r="K102" i="1" s="1"/>
  <c r="P102" i="1" s="1"/>
  <c r="I103" i="1"/>
  <c r="K103" i="1" s="1"/>
  <c r="P103" i="1" s="1"/>
  <c r="I104" i="1"/>
  <c r="K104" i="1" s="1"/>
  <c r="P104" i="1" s="1"/>
  <c r="I105" i="1"/>
  <c r="K105" i="1" s="1"/>
  <c r="P105" i="1" s="1"/>
  <c r="I106" i="1"/>
  <c r="K106" i="1" s="1"/>
  <c r="P106" i="1" s="1"/>
  <c r="I107" i="1"/>
  <c r="K107" i="1" s="1"/>
  <c r="P107" i="1" s="1"/>
  <c r="I108" i="1"/>
  <c r="K108" i="1" s="1"/>
  <c r="P108" i="1" s="1"/>
  <c r="I109" i="1"/>
  <c r="K109" i="1" s="1"/>
  <c r="P109" i="1" s="1"/>
  <c r="I110" i="1"/>
  <c r="K110" i="1" s="1"/>
  <c r="P110" i="1" s="1"/>
  <c r="I111" i="1"/>
  <c r="K111" i="1" s="1"/>
  <c r="P111" i="1" s="1"/>
  <c r="I112" i="1"/>
  <c r="K112" i="1" s="1"/>
  <c r="P112" i="1" s="1"/>
  <c r="I113" i="1"/>
  <c r="K113" i="1" s="1"/>
  <c r="P113" i="1" s="1"/>
  <c r="I114" i="1"/>
  <c r="K114" i="1" s="1"/>
  <c r="P114" i="1" s="1"/>
  <c r="I115" i="1"/>
  <c r="K115" i="1" s="1"/>
  <c r="P115" i="1" s="1"/>
  <c r="I116" i="1"/>
  <c r="K116" i="1" s="1"/>
  <c r="P116" i="1" s="1"/>
  <c r="I117" i="1"/>
  <c r="K117" i="1" s="1"/>
  <c r="P117" i="1" s="1"/>
  <c r="I118" i="1"/>
  <c r="K118" i="1" s="1"/>
  <c r="P118" i="1" s="1"/>
  <c r="I119" i="1"/>
  <c r="K119" i="1" s="1"/>
  <c r="P119" i="1" s="1"/>
  <c r="I120" i="1"/>
  <c r="K120" i="1" s="1"/>
  <c r="I121" i="1"/>
  <c r="K121" i="1" s="1"/>
  <c r="I122" i="1"/>
  <c r="K122" i="1" s="1"/>
  <c r="P122" i="1" s="1"/>
  <c r="I123" i="1"/>
  <c r="K123" i="1" s="1"/>
  <c r="P123" i="1" s="1"/>
  <c r="I124" i="1"/>
  <c r="I125" i="1"/>
  <c r="K125" i="1" s="1"/>
  <c r="P125" i="1" s="1"/>
  <c r="I126" i="1"/>
  <c r="K126" i="1" s="1"/>
  <c r="P126" i="1" s="1"/>
  <c r="I127" i="1"/>
  <c r="K127" i="1" s="1"/>
  <c r="P127" i="1" s="1"/>
  <c r="I128" i="1"/>
  <c r="K128" i="1" s="1"/>
  <c r="P128" i="1" s="1"/>
  <c r="I129" i="1"/>
  <c r="K129" i="1" s="1"/>
  <c r="P129" i="1" s="1"/>
  <c r="I130" i="1"/>
  <c r="K130" i="1" s="1"/>
  <c r="P130" i="1" s="1"/>
  <c r="I131" i="1"/>
  <c r="K131" i="1" s="1"/>
  <c r="P131" i="1" s="1"/>
  <c r="I132" i="1"/>
  <c r="K132" i="1" s="1"/>
  <c r="P132" i="1" s="1"/>
  <c r="I133" i="1"/>
  <c r="K133" i="1" s="1"/>
  <c r="P133" i="1" s="1"/>
  <c r="I134" i="1"/>
  <c r="K134" i="1" s="1"/>
  <c r="P134" i="1" s="1"/>
  <c r="I135" i="1"/>
  <c r="K135" i="1" s="1"/>
  <c r="P135" i="1" s="1"/>
  <c r="I136" i="1"/>
  <c r="K136" i="1" s="1"/>
  <c r="P136" i="1" s="1"/>
  <c r="I137" i="1"/>
  <c r="K137" i="1" s="1"/>
  <c r="P137" i="1" s="1"/>
  <c r="I138" i="1"/>
  <c r="K138" i="1" s="1"/>
  <c r="P138" i="1" s="1"/>
  <c r="I139" i="1"/>
  <c r="K139" i="1" s="1"/>
  <c r="P139" i="1" s="1"/>
  <c r="I140" i="1"/>
  <c r="K140" i="1" s="1"/>
  <c r="P140" i="1" s="1"/>
  <c r="I141" i="1"/>
  <c r="K141" i="1" s="1"/>
  <c r="P141" i="1" s="1"/>
  <c r="I142" i="1"/>
  <c r="K142" i="1" s="1"/>
  <c r="P142" i="1" s="1"/>
  <c r="I143" i="1"/>
  <c r="K143" i="1" s="1"/>
  <c r="P143" i="1" s="1"/>
  <c r="I144" i="1"/>
  <c r="K144" i="1" s="1"/>
  <c r="P144" i="1" s="1"/>
  <c r="I145" i="1"/>
  <c r="K145" i="1" s="1"/>
  <c r="P145" i="1" s="1"/>
  <c r="I146" i="1"/>
  <c r="K146" i="1" s="1"/>
  <c r="P146" i="1" s="1"/>
  <c r="I147" i="1"/>
  <c r="K147" i="1" s="1"/>
  <c r="P147" i="1" s="1"/>
  <c r="I148" i="1"/>
  <c r="K148" i="1" s="1"/>
  <c r="P148" i="1" s="1"/>
  <c r="I149" i="1"/>
  <c r="K149" i="1" s="1"/>
  <c r="P149" i="1" s="1"/>
  <c r="I150" i="1"/>
  <c r="K150" i="1" s="1"/>
  <c r="P150" i="1" s="1"/>
  <c r="I151" i="1"/>
  <c r="K151" i="1" s="1"/>
  <c r="P151" i="1" s="1"/>
  <c r="I152" i="1"/>
  <c r="K152" i="1" s="1"/>
  <c r="P152" i="1" s="1"/>
  <c r="I153" i="1"/>
  <c r="K153" i="1" s="1"/>
  <c r="P153" i="1" s="1"/>
  <c r="I154" i="1"/>
  <c r="K154" i="1" s="1"/>
  <c r="P154" i="1" s="1"/>
  <c r="I155" i="1"/>
  <c r="K155" i="1" s="1"/>
  <c r="P155" i="1" s="1"/>
  <c r="I156" i="1"/>
  <c r="K156" i="1" s="1"/>
  <c r="P156" i="1" s="1"/>
  <c r="I157" i="1"/>
  <c r="K157" i="1" s="1"/>
  <c r="P157" i="1" s="1"/>
  <c r="I158" i="1"/>
  <c r="K158" i="1" s="1"/>
  <c r="P158" i="1" s="1"/>
  <c r="I159" i="1"/>
  <c r="K159" i="1" s="1"/>
  <c r="P159" i="1" s="1"/>
  <c r="I160" i="1"/>
  <c r="K160" i="1" s="1"/>
  <c r="P160" i="1" s="1"/>
  <c r="I161" i="1"/>
  <c r="K161" i="1" s="1"/>
  <c r="P161" i="1" s="1"/>
  <c r="I162" i="1"/>
  <c r="K162" i="1" s="1"/>
  <c r="P162" i="1" s="1"/>
  <c r="I163" i="1"/>
  <c r="K163" i="1" s="1"/>
  <c r="P163" i="1" s="1"/>
  <c r="I164" i="1"/>
  <c r="I165" i="1"/>
  <c r="K165" i="1" s="1"/>
  <c r="P165" i="1" s="1"/>
  <c r="I166" i="1"/>
  <c r="K166" i="1" s="1"/>
  <c r="P166" i="1" s="1"/>
  <c r="I167" i="1"/>
  <c r="K167" i="1" s="1"/>
  <c r="P167" i="1" s="1"/>
  <c r="I168" i="1"/>
  <c r="K168" i="1" s="1"/>
  <c r="P168" i="1" s="1"/>
  <c r="I169" i="1"/>
  <c r="K169" i="1" s="1"/>
  <c r="I170" i="1"/>
  <c r="K170" i="1" s="1"/>
  <c r="P170" i="1" s="1"/>
  <c r="I171" i="1"/>
  <c r="K171" i="1" s="1"/>
  <c r="P171" i="1" s="1"/>
  <c r="I172" i="1"/>
  <c r="K172" i="1" s="1"/>
  <c r="P172" i="1" s="1"/>
  <c r="I173" i="1"/>
  <c r="K173" i="1" s="1"/>
  <c r="P173" i="1" s="1"/>
  <c r="I174" i="1"/>
  <c r="K174" i="1" s="1"/>
  <c r="P174" i="1" s="1"/>
  <c r="I175" i="1"/>
  <c r="K175" i="1" s="1"/>
  <c r="P175" i="1" s="1"/>
  <c r="I176" i="1"/>
  <c r="K176" i="1" s="1"/>
  <c r="P176" i="1" s="1"/>
  <c r="I177" i="1"/>
  <c r="K177" i="1" s="1"/>
  <c r="P177" i="1" s="1"/>
  <c r="I178" i="1"/>
  <c r="K178" i="1" s="1"/>
  <c r="P178" i="1" s="1"/>
  <c r="I179" i="1"/>
  <c r="K179" i="1" s="1"/>
  <c r="P179" i="1" s="1"/>
  <c r="I180" i="1"/>
  <c r="K180" i="1" s="1"/>
  <c r="P180" i="1" s="1"/>
  <c r="I181" i="1"/>
  <c r="K181" i="1" s="1"/>
  <c r="P181" i="1" s="1"/>
  <c r="I182" i="1"/>
  <c r="I183" i="1"/>
  <c r="K183" i="1" s="1"/>
  <c r="P183" i="1" s="1"/>
  <c r="I184" i="1"/>
  <c r="K184" i="1" s="1"/>
  <c r="P184" i="1" s="1"/>
  <c r="I185" i="1"/>
  <c r="K185" i="1" s="1"/>
  <c r="P185" i="1" s="1"/>
  <c r="I186" i="1"/>
  <c r="K186" i="1" s="1"/>
  <c r="P186" i="1" s="1"/>
  <c r="I187" i="1"/>
  <c r="K187" i="1" s="1"/>
  <c r="P187" i="1" s="1"/>
  <c r="I188" i="1"/>
  <c r="K188" i="1" s="1"/>
  <c r="P188" i="1" s="1"/>
  <c r="I189" i="1"/>
  <c r="I190" i="1"/>
  <c r="K190" i="1" s="1"/>
  <c r="I191" i="1"/>
  <c r="K191" i="1" s="1"/>
  <c r="P191" i="1" s="1"/>
  <c r="I192" i="1"/>
  <c r="K192" i="1" s="1"/>
  <c r="P192" i="1" s="1"/>
  <c r="I193" i="1"/>
  <c r="K193" i="1" s="1"/>
  <c r="P193" i="1" s="1"/>
  <c r="I194" i="1"/>
  <c r="I195" i="1"/>
  <c r="K195" i="1" s="1"/>
  <c r="P195" i="1" s="1"/>
  <c r="I196" i="1"/>
  <c r="K196" i="1" s="1"/>
  <c r="P196" i="1" s="1"/>
  <c r="I197" i="1"/>
  <c r="K197" i="1" s="1"/>
  <c r="P197" i="1" s="1"/>
  <c r="I198" i="1"/>
  <c r="K198" i="1" s="1"/>
  <c r="P198" i="1" s="1"/>
  <c r="I199" i="1"/>
  <c r="K199" i="1" s="1"/>
  <c r="P199" i="1" s="1"/>
  <c r="I200" i="1"/>
  <c r="K200" i="1" s="1"/>
  <c r="P200" i="1" s="1"/>
  <c r="I201" i="1"/>
  <c r="K201" i="1" s="1"/>
  <c r="I202" i="1"/>
  <c r="K202" i="1" s="1"/>
  <c r="I203" i="1"/>
  <c r="K203" i="1" s="1"/>
  <c r="I204" i="1"/>
  <c r="I205" i="1"/>
  <c r="K205" i="1" s="1"/>
  <c r="P205" i="1" s="1"/>
  <c r="I206" i="1"/>
  <c r="K206" i="1" s="1"/>
  <c r="P206" i="1" s="1"/>
  <c r="I207" i="1"/>
  <c r="K207" i="1" s="1"/>
  <c r="P207" i="1" s="1"/>
  <c r="I208" i="1"/>
  <c r="K208" i="1" s="1"/>
  <c r="P208" i="1" s="1"/>
  <c r="I209" i="1"/>
  <c r="K209" i="1" s="1"/>
  <c r="P209" i="1" s="1"/>
  <c r="I210" i="1"/>
  <c r="K210" i="1" s="1"/>
  <c r="P210" i="1" s="1"/>
  <c r="I211" i="1"/>
  <c r="K211" i="1" s="1"/>
  <c r="P211" i="1" s="1"/>
  <c r="I212" i="1"/>
  <c r="K212" i="1" s="1"/>
  <c r="P212" i="1" s="1"/>
  <c r="I213" i="1"/>
  <c r="K213" i="1" s="1"/>
  <c r="P213" i="1" s="1"/>
  <c r="I214" i="1"/>
  <c r="K214" i="1" s="1"/>
  <c r="P214" i="1" s="1"/>
  <c r="I215" i="1"/>
  <c r="K215" i="1" s="1"/>
  <c r="P215" i="1" s="1"/>
  <c r="I216" i="1"/>
  <c r="K216" i="1" s="1"/>
  <c r="P216" i="1" s="1"/>
  <c r="I217" i="1"/>
  <c r="K217" i="1" s="1"/>
  <c r="P217" i="1" s="1"/>
  <c r="I218" i="1"/>
  <c r="K218" i="1" s="1"/>
  <c r="P218" i="1" s="1"/>
  <c r="I219" i="1"/>
  <c r="K219" i="1" s="1"/>
  <c r="I220" i="1"/>
  <c r="K220" i="1" s="1"/>
  <c r="P220" i="1" s="1"/>
  <c r="I221" i="1"/>
  <c r="K221" i="1" s="1"/>
  <c r="P221" i="1" s="1"/>
  <c r="I222" i="1"/>
  <c r="K222" i="1" s="1"/>
  <c r="P222" i="1" s="1"/>
  <c r="I223" i="1"/>
  <c r="K223" i="1" s="1"/>
  <c r="P223" i="1" s="1"/>
  <c r="I224" i="1"/>
  <c r="K224" i="1" s="1"/>
  <c r="P224" i="1" s="1"/>
  <c r="I225" i="1"/>
  <c r="K225" i="1" s="1"/>
  <c r="P225" i="1" s="1"/>
  <c r="I226" i="1"/>
  <c r="K226" i="1" s="1"/>
  <c r="P226" i="1" s="1"/>
  <c r="I227" i="1"/>
  <c r="K227" i="1" s="1"/>
  <c r="P227" i="1" s="1"/>
  <c r="I228" i="1"/>
  <c r="K228" i="1" s="1"/>
  <c r="P228" i="1" s="1"/>
  <c r="I229" i="1"/>
  <c r="K229" i="1" s="1"/>
  <c r="P229" i="1" s="1"/>
  <c r="I230" i="1"/>
  <c r="K230" i="1" s="1"/>
  <c r="P230" i="1" s="1"/>
  <c r="I231" i="1"/>
  <c r="K231" i="1" s="1"/>
  <c r="I232" i="1"/>
  <c r="K232" i="1" s="1"/>
  <c r="P232" i="1" s="1"/>
  <c r="I233" i="1"/>
  <c r="K233" i="1" s="1"/>
  <c r="P233" i="1" s="1"/>
  <c r="I234" i="1"/>
  <c r="K234" i="1" s="1"/>
  <c r="P234" i="1" s="1"/>
  <c r="I235" i="1"/>
  <c r="K235" i="1" s="1"/>
  <c r="P235" i="1" s="1"/>
  <c r="I236" i="1"/>
  <c r="K236" i="1" s="1"/>
  <c r="P236" i="1" s="1"/>
  <c r="I237" i="1"/>
  <c r="K237" i="1" s="1"/>
  <c r="P237" i="1" s="1"/>
  <c r="I238" i="1"/>
  <c r="K238" i="1" s="1"/>
  <c r="P238" i="1" s="1"/>
  <c r="I239" i="1"/>
  <c r="K239" i="1" s="1"/>
  <c r="P239" i="1" s="1"/>
  <c r="I240" i="1"/>
  <c r="K240" i="1" s="1"/>
  <c r="P240" i="1" s="1"/>
  <c r="I241" i="1"/>
  <c r="K241" i="1" s="1"/>
  <c r="P241" i="1" s="1"/>
  <c r="I242" i="1"/>
  <c r="K242" i="1" s="1"/>
  <c r="I243" i="1"/>
  <c r="K243" i="1" s="1"/>
  <c r="P243" i="1" s="1"/>
  <c r="I244" i="1"/>
  <c r="K244" i="1" s="1"/>
  <c r="P244" i="1" s="1"/>
  <c r="I245" i="1"/>
  <c r="K245" i="1" s="1"/>
  <c r="P245" i="1" s="1"/>
  <c r="I246" i="1"/>
  <c r="K246" i="1" s="1"/>
  <c r="P246" i="1" s="1"/>
  <c r="I247" i="1"/>
  <c r="K247" i="1" s="1"/>
  <c r="P247" i="1" s="1"/>
  <c r="I248" i="1"/>
  <c r="K248" i="1" s="1"/>
  <c r="P248" i="1" s="1"/>
  <c r="I249" i="1"/>
  <c r="K249" i="1" s="1"/>
  <c r="P249" i="1" s="1"/>
  <c r="I250" i="1"/>
  <c r="K250" i="1" s="1"/>
  <c r="P250" i="1" s="1"/>
  <c r="I251" i="1"/>
  <c r="K251" i="1" s="1"/>
  <c r="P251" i="1" s="1"/>
  <c r="I252" i="1"/>
  <c r="K252" i="1" s="1"/>
  <c r="P252" i="1" s="1"/>
  <c r="I253" i="1"/>
  <c r="K253" i="1" s="1"/>
  <c r="I254" i="1"/>
  <c r="K254" i="1" s="1"/>
  <c r="P254" i="1" s="1"/>
  <c r="I255" i="1"/>
  <c r="K255" i="1" s="1"/>
  <c r="P255" i="1" s="1"/>
  <c r="I256" i="1"/>
  <c r="K256" i="1" s="1"/>
  <c r="P256" i="1" s="1"/>
  <c r="I257" i="1"/>
  <c r="K257" i="1" s="1"/>
  <c r="P257" i="1" s="1"/>
  <c r="I258" i="1"/>
  <c r="K258" i="1" s="1"/>
  <c r="P258" i="1" s="1"/>
  <c r="I259" i="1"/>
  <c r="K259" i="1" s="1"/>
  <c r="P259" i="1" s="1"/>
  <c r="I260" i="1"/>
  <c r="K260" i="1" s="1"/>
  <c r="P260" i="1" s="1"/>
  <c r="I261" i="1"/>
  <c r="K261" i="1" s="1"/>
  <c r="P261" i="1" s="1"/>
  <c r="I262" i="1"/>
  <c r="K262" i="1" s="1"/>
  <c r="P262" i="1" s="1"/>
  <c r="I263" i="1"/>
  <c r="K263" i="1" s="1"/>
  <c r="P263" i="1" s="1"/>
  <c r="I264" i="1"/>
  <c r="K264" i="1" s="1"/>
  <c r="P264" i="1" s="1"/>
  <c r="I265" i="1"/>
  <c r="K265" i="1" s="1"/>
  <c r="P265" i="1" s="1"/>
  <c r="I266" i="1"/>
  <c r="K266" i="1" s="1"/>
  <c r="P266" i="1" s="1"/>
  <c r="I267" i="1"/>
  <c r="K267" i="1" s="1"/>
  <c r="P267" i="1" s="1"/>
  <c r="I268" i="1"/>
  <c r="K268" i="1" s="1"/>
  <c r="P268" i="1" s="1"/>
  <c r="I269" i="1"/>
  <c r="K269" i="1" s="1"/>
  <c r="P269" i="1" s="1"/>
  <c r="I270" i="1"/>
  <c r="K270" i="1" s="1"/>
  <c r="P270" i="1" s="1"/>
  <c r="I271" i="1"/>
  <c r="K271" i="1" s="1"/>
  <c r="I272" i="1"/>
  <c r="K272" i="1" s="1"/>
  <c r="P272" i="1" s="1"/>
  <c r="I273" i="1"/>
  <c r="K273" i="1" s="1"/>
  <c r="P273" i="1" s="1"/>
  <c r="I274" i="1"/>
  <c r="K274" i="1" s="1"/>
  <c r="P274" i="1" s="1"/>
  <c r="I275" i="1"/>
  <c r="K275" i="1" s="1"/>
  <c r="P275" i="1" s="1"/>
  <c r="I276" i="1"/>
  <c r="K276" i="1" s="1"/>
  <c r="P276" i="1" s="1"/>
  <c r="I277" i="1"/>
  <c r="K277" i="1" s="1"/>
  <c r="P277" i="1" s="1"/>
  <c r="I278" i="1"/>
  <c r="K278" i="1" s="1"/>
  <c r="P278" i="1" s="1"/>
  <c r="I279" i="1"/>
  <c r="K279" i="1" s="1"/>
  <c r="P279" i="1" s="1"/>
  <c r="I280" i="1"/>
  <c r="K280" i="1" s="1"/>
  <c r="P280" i="1" s="1"/>
  <c r="I281" i="1"/>
  <c r="K281" i="1" s="1"/>
  <c r="P281" i="1" s="1"/>
  <c r="I282" i="1"/>
  <c r="K282" i="1" s="1"/>
  <c r="P282" i="1" s="1"/>
  <c r="I283" i="1"/>
  <c r="K283" i="1" s="1"/>
  <c r="P283" i="1" s="1"/>
  <c r="I284" i="1"/>
  <c r="K284" i="1" s="1"/>
  <c r="P284" i="1" s="1"/>
  <c r="I285" i="1"/>
  <c r="K285" i="1" s="1"/>
  <c r="P285" i="1" s="1"/>
  <c r="I286" i="1"/>
  <c r="K286" i="1" s="1"/>
  <c r="P286" i="1" s="1"/>
  <c r="I287" i="1"/>
  <c r="K287" i="1" s="1"/>
  <c r="P287" i="1" s="1"/>
  <c r="I288" i="1"/>
  <c r="K288" i="1" s="1"/>
  <c r="P288" i="1" s="1"/>
  <c r="I289" i="1"/>
  <c r="K289" i="1" s="1"/>
  <c r="I290" i="1"/>
  <c r="K290" i="1" s="1"/>
  <c r="I291" i="1"/>
  <c r="K291" i="1" s="1"/>
  <c r="P291" i="1" s="1"/>
  <c r="I292" i="1"/>
  <c r="K292" i="1" s="1"/>
  <c r="P292" i="1" s="1"/>
  <c r="I293" i="1"/>
  <c r="K293" i="1" s="1"/>
  <c r="P293" i="1" s="1"/>
  <c r="I294" i="1"/>
  <c r="K294" i="1" s="1"/>
  <c r="P294" i="1" s="1"/>
  <c r="I295" i="1"/>
  <c r="K295" i="1" s="1"/>
  <c r="P295" i="1" s="1"/>
  <c r="I296" i="1"/>
  <c r="K296" i="1" s="1"/>
  <c r="P296" i="1" s="1"/>
  <c r="I297" i="1"/>
  <c r="K297" i="1" s="1"/>
  <c r="P297" i="1" s="1"/>
  <c r="I298" i="1"/>
  <c r="K298" i="1" s="1"/>
  <c r="P298" i="1" s="1"/>
  <c r="I299" i="1"/>
  <c r="K299" i="1" s="1"/>
  <c r="P299" i="1" s="1"/>
  <c r="I300" i="1"/>
  <c r="K300" i="1" s="1"/>
  <c r="P300" i="1" s="1"/>
  <c r="I301" i="1"/>
  <c r="K301" i="1" s="1"/>
  <c r="P301" i="1" s="1"/>
  <c r="I302" i="1"/>
  <c r="K302" i="1" s="1"/>
  <c r="P302" i="1" s="1"/>
  <c r="I303" i="1"/>
  <c r="K303" i="1" s="1"/>
  <c r="P303" i="1" s="1"/>
  <c r="I304" i="1"/>
  <c r="K304" i="1" s="1"/>
  <c r="P304" i="1" s="1"/>
  <c r="I305" i="1"/>
  <c r="K305" i="1" s="1"/>
  <c r="P305" i="1" s="1"/>
  <c r="I306" i="1"/>
  <c r="K306" i="1" s="1"/>
  <c r="P306" i="1" s="1"/>
  <c r="I307" i="1"/>
  <c r="K307" i="1" s="1"/>
  <c r="P307" i="1" s="1"/>
  <c r="I308" i="1"/>
  <c r="K308" i="1" s="1"/>
  <c r="P308" i="1" s="1"/>
  <c r="I309" i="1"/>
  <c r="K309" i="1" s="1"/>
  <c r="P309" i="1" s="1"/>
  <c r="I310" i="1"/>
  <c r="K310" i="1" s="1"/>
  <c r="P310" i="1" s="1"/>
  <c r="I311" i="1"/>
  <c r="K311" i="1" s="1"/>
  <c r="P311" i="1" s="1"/>
  <c r="I312" i="1"/>
  <c r="K312" i="1" s="1"/>
  <c r="P312" i="1" s="1"/>
  <c r="I313" i="1"/>
  <c r="K313" i="1" s="1"/>
  <c r="P313" i="1" s="1"/>
  <c r="I314" i="1"/>
  <c r="I315" i="1"/>
  <c r="K315" i="1" s="1"/>
  <c r="P315" i="1" s="1"/>
  <c r="I316" i="1"/>
  <c r="K316" i="1" s="1"/>
  <c r="P316" i="1" s="1"/>
  <c r="I317" i="1"/>
  <c r="K317" i="1" s="1"/>
  <c r="P317" i="1" s="1"/>
  <c r="I318" i="1"/>
  <c r="K318" i="1" s="1"/>
  <c r="P318" i="1" s="1"/>
  <c r="I319" i="1"/>
  <c r="K319" i="1" s="1"/>
  <c r="P319" i="1" s="1"/>
  <c r="I320" i="1"/>
  <c r="K320" i="1" s="1"/>
  <c r="P320" i="1" s="1"/>
  <c r="I321" i="1"/>
  <c r="K321" i="1" s="1"/>
  <c r="P321" i="1" s="1"/>
  <c r="I322" i="1"/>
  <c r="K322" i="1" s="1"/>
  <c r="P322" i="1" s="1"/>
  <c r="I323" i="1"/>
  <c r="K323" i="1" s="1"/>
  <c r="P323" i="1" s="1"/>
  <c r="I324" i="1"/>
  <c r="I325" i="1"/>
  <c r="K325" i="1" s="1"/>
  <c r="P325" i="1" s="1"/>
  <c r="I326" i="1"/>
  <c r="K326" i="1" s="1"/>
  <c r="P326" i="1" s="1"/>
  <c r="I327" i="1"/>
  <c r="K327" i="1" s="1"/>
  <c r="P327" i="1" s="1"/>
  <c r="I328" i="1"/>
  <c r="K328" i="1" s="1"/>
  <c r="P328" i="1" s="1"/>
  <c r="I329" i="1"/>
  <c r="K329" i="1" s="1"/>
  <c r="P329" i="1" s="1"/>
  <c r="I330" i="1"/>
  <c r="K330" i="1" s="1"/>
  <c r="P330" i="1" s="1"/>
  <c r="I331" i="1"/>
  <c r="K331" i="1" s="1"/>
  <c r="P331" i="1" s="1"/>
  <c r="I332" i="1"/>
  <c r="K332" i="1" s="1"/>
  <c r="P332" i="1" s="1"/>
  <c r="I333" i="1"/>
  <c r="K333" i="1" s="1"/>
  <c r="P333" i="1" s="1"/>
  <c r="I334" i="1"/>
  <c r="K334" i="1" s="1"/>
  <c r="P334" i="1" s="1"/>
  <c r="I335" i="1"/>
  <c r="K335" i="1" s="1"/>
  <c r="P335" i="1" s="1"/>
  <c r="I336" i="1"/>
  <c r="K336" i="1" s="1"/>
  <c r="P336" i="1" s="1"/>
  <c r="I337" i="1"/>
  <c r="K337" i="1" s="1"/>
  <c r="P337" i="1" s="1"/>
  <c r="I338" i="1"/>
  <c r="K338" i="1" s="1"/>
  <c r="P338" i="1" s="1"/>
  <c r="I339" i="1"/>
  <c r="K339" i="1" s="1"/>
  <c r="P339" i="1" s="1"/>
  <c r="I340" i="1"/>
  <c r="K340" i="1" s="1"/>
  <c r="P340" i="1" s="1"/>
  <c r="I341" i="1"/>
  <c r="K341" i="1" s="1"/>
  <c r="P341" i="1" s="1"/>
  <c r="I342" i="1"/>
  <c r="K342" i="1" s="1"/>
  <c r="P342" i="1" s="1"/>
  <c r="I343" i="1"/>
  <c r="K343" i="1" s="1"/>
  <c r="P343" i="1" s="1"/>
  <c r="I344" i="1"/>
  <c r="K344" i="1" s="1"/>
  <c r="P344" i="1" s="1"/>
  <c r="I345" i="1"/>
  <c r="K345" i="1" s="1"/>
  <c r="P345" i="1" s="1"/>
  <c r="I346" i="1"/>
  <c r="K346" i="1" s="1"/>
  <c r="P346" i="1" s="1"/>
  <c r="I347" i="1"/>
  <c r="K347" i="1" s="1"/>
  <c r="P347" i="1" s="1"/>
  <c r="I348" i="1"/>
  <c r="K348" i="1" s="1"/>
  <c r="P348" i="1" s="1"/>
  <c r="I349" i="1"/>
  <c r="K349" i="1" s="1"/>
  <c r="P349" i="1" s="1"/>
  <c r="I350" i="1"/>
  <c r="K350" i="1" s="1"/>
  <c r="P350" i="1" s="1"/>
  <c r="I351" i="1"/>
  <c r="K351" i="1" s="1"/>
  <c r="P351" i="1" s="1"/>
  <c r="I352" i="1"/>
  <c r="K352" i="1" s="1"/>
  <c r="P352" i="1" s="1"/>
  <c r="I353" i="1"/>
  <c r="K353" i="1" s="1"/>
  <c r="P353" i="1" s="1"/>
  <c r="I354" i="1"/>
  <c r="K354" i="1" s="1"/>
  <c r="P354" i="1" s="1"/>
  <c r="I355" i="1"/>
  <c r="K355" i="1" s="1"/>
  <c r="P355" i="1" s="1"/>
  <c r="I356" i="1"/>
  <c r="K356" i="1" s="1"/>
  <c r="P356" i="1" s="1"/>
  <c r="I357" i="1"/>
  <c r="K357" i="1" s="1"/>
  <c r="P357" i="1" s="1"/>
  <c r="I358" i="1"/>
  <c r="K358" i="1" s="1"/>
  <c r="P358" i="1" s="1"/>
  <c r="I359" i="1"/>
  <c r="K359" i="1" s="1"/>
  <c r="P359" i="1" s="1"/>
  <c r="I360" i="1"/>
  <c r="K360" i="1" s="1"/>
  <c r="P360" i="1" s="1"/>
  <c r="I361" i="1"/>
  <c r="K361" i="1" s="1"/>
  <c r="P361" i="1" s="1"/>
  <c r="I362" i="1"/>
  <c r="K362" i="1" s="1"/>
  <c r="P362" i="1" s="1"/>
  <c r="I363" i="1"/>
  <c r="K363" i="1" s="1"/>
  <c r="P363" i="1" s="1"/>
  <c r="I364" i="1"/>
  <c r="K364" i="1" s="1"/>
  <c r="P364" i="1" s="1"/>
  <c r="I365" i="1"/>
  <c r="K365" i="1" s="1"/>
  <c r="P365" i="1" s="1"/>
  <c r="I366" i="1"/>
  <c r="K366" i="1" s="1"/>
  <c r="P366" i="1" s="1"/>
  <c r="K32" i="1"/>
  <c r="P32" i="1" s="1"/>
  <c r="K82" i="1"/>
  <c r="P82" i="1" s="1"/>
  <c r="K182" i="1"/>
  <c r="P182" i="1" s="1"/>
  <c r="K189" i="1"/>
  <c r="P189" i="1" s="1"/>
  <c r="K324" i="1"/>
  <c r="P324" i="1" s="1"/>
  <c r="K314" i="1"/>
  <c r="P314" i="1" s="1"/>
  <c r="K204" i="1"/>
  <c r="P204" i="1" s="1"/>
  <c r="K194" i="1"/>
  <c r="P194" i="1" s="1"/>
  <c r="K164" i="1"/>
  <c r="P164" i="1" s="1"/>
  <c r="K124" i="1"/>
  <c r="P124" i="1" s="1"/>
  <c r="K66" i="1"/>
  <c r="P66" i="1" s="1"/>
  <c r="G2" i="5" l="1"/>
  <c r="Q360" i="1"/>
  <c r="Q160" i="1"/>
  <c r="Q140" i="1"/>
  <c r="Q110" i="1"/>
  <c r="Q90" i="1"/>
  <c r="Q338" i="1"/>
  <c r="Q268" i="1"/>
  <c r="Q198" i="1"/>
  <c r="Q168" i="1"/>
  <c r="Q138" i="1"/>
  <c r="Q98" i="1"/>
  <c r="Q88" i="1"/>
  <c r="Q78" i="1"/>
  <c r="Q68" i="1"/>
  <c r="Q58" i="1"/>
  <c r="Q48" i="1"/>
  <c r="Q18" i="1"/>
  <c r="Q8" i="1"/>
  <c r="Q310" i="1"/>
  <c r="Q220" i="1"/>
  <c r="Q358" i="1"/>
  <c r="Q328" i="1"/>
  <c r="Q298" i="1"/>
  <c r="Q278" i="1"/>
  <c r="Q248" i="1"/>
  <c r="Q228" i="1"/>
  <c r="Q218" i="1"/>
  <c r="Q188" i="1"/>
  <c r="Q158" i="1"/>
  <c r="Q128" i="1"/>
  <c r="Q38" i="1"/>
  <c r="Q252" i="1"/>
  <c r="Q318" i="1"/>
  <c r="Q108" i="1"/>
  <c r="Q366" i="1"/>
  <c r="Q346" i="1"/>
  <c r="Q336" i="1"/>
  <c r="Q326" i="1"/>
  <c r="Q316" i="1"/>
  <c r="Q306" i="1"/>
  <c r="Q296" i="1"/>
  <c r="Q192" i="1"/>
  <c r="Q330" i="1"/>
  <c r="Q348" i="1"/>
  <c r="Q308" i="1"/>
  <c r="Q288" i="1"/>
  <c r="Q258" i="1"/>
  <c r="Q238" i="1"/>
  <c r="Q208" i="1"/>
  <c r="Q178" i="1"/>
  <c r="Q148" i="1"/>
  <c r="Q118" i="1"/>
  <c r="Q28" i="1"/>
  <c r="Q356" i="1"/>
  <c r="Q11" i="1"/>
  <c r="Q32" i="1"/>
  <c r="M2" i="1"/>
  <c r="P120" i="1"/>
  <c r="Q120" i="1"/>
  <c r="P52" i="1"/>
  <c r="Q52" i="1"/>
  <c r="P22" i="1"/>
  <c r="Q22" i="1"/>
  <c r="Q322" i="1"/>
  <c r="Q270" i="1"/>
  <c r="Q212" i="1"/>
  <c r="Q152" i="1"/>
  <c r="Q102" i="1"/>
  <c r="Q50" i="1"/>
  <c r="Q320" i="1"/>
  <c r="Q262" i="1"/>
  <c r="Q210" i="1"/>
  <c r="Q150" i="1"/>
  <c r="Q100" i="1"/>
  <c r="Q42" i="1"/>
  <c r="Q362" i="1"/>
  <c r="Q312" i="1"/>
  <c r="Q260" i="1"/>
  <c r="Q200" i="1"/>
  <c r="Q142" i="1"/>
  <c r="Q92" i="1"/>
  <c r="Q40" i="1"/>
  <c r="Q352" i="1"/>
  <c r="Q302" i="1"/>
  <c r="Q250" i="1"/>
  <c r="Q182" i="1"/>
  <c r="Q132" i="1"/>
  <c r="Q80" i="1"/>
  <c r="Q30" i="1"/>
  <c r="Q354" i="1"/>
  <c r="Q344" i="1"/>
  <c r="Q334" i="1"/>
  <c r="Q304" i="1"/>
  <c r="Q284" i="1"/>
  <c r="Q274" i="1"/>
  <c r="Q234" i="1"/>
  <c r="Q224" i="1"/>
  <c r="Q184" i="1"/>
  <c r="Q174" i="1"/>
  <c r="Q154" i="1"/>
  <c r="Q144" i="1"/>
  <c r="Q134" i="1"/>
  <c r="Q114" i="1"/>
  <c r="Q94" i="1"/>
  <c r="Q74" i="1"/>
  <c r="Q64" i="1"/>
  <c r="Q54" i="1"/>
  <c r="Q44" i="1"/>
  <c r="Q24" i="1"/>
  <c r="Q350" i="1"/>
  <c r="Q300" i="1"/>
  <c r="Q240" i="1"/>
  <c r="Q180" i="1"/>
  <c r="Q130" i="1"/>
  <c r="Q72" i="1"/>
  <c r="Q342" i="1"/>
  <c r="Q292" i="1"/>
  <c r="Q232" i="1"/>
  <c r="Q172" i="1"/>
  <c r="Q122" i="1"/>
  <c r="Q70" i="1"/>
  <c r="Q20" i="1"/>
  <c r="Q340" i="1"/>
  <c r="Q282" i="1"/>
  <c r="Q230" i="1"/>
  <c r="Q170" i="1"/>
  <c r="Q62" i="1"/>
  <c r="Q12" i="1"/>
  <c r="Q332" i="1"/>
  <c r="Q280" i="1"/>
  <c r="Q222" i="1"/>
  <c r="Q162" i="1"/>
  <c r="Q112" i="1"/>
  <c r="Q60" i="1"/>
  <c r="Q10" i="1"/>
  <c r="P203" i="1"/>
  <c r="Q203" i="1"/>
  <c r="P63" i="1"/>
  <c r="Q63" i="1"/>
  <c r="P202" i="1"/>
  <c r="Q202" i="1"/>
  <c r="P253" i="1"/>
  <c r="Q253" i="1"/>
  <c r="P242" i="1"/>
  <c r="Q242" i="1"/>
  <c r="P271" i="1"/>
  <c r="Q271" i="1"/>
  <c r="P201" i="1"/>
  <c r="Q201" i="1"/>
  <c r="P231" i="1"/>
  <c r="Q231" i="1"/>
  <c r="P81" i="1"/>
  <c r="Q81" i="1"/>
  <c r="P289" i="1"/>
  <c r="Q289" i="1"/>
  <c r="P219" i="1"/>
  <c r="Q219" i="1"/>
  <c r="P121" i="1"/>
  <c r="Q121" i="1"/>
  <c r="P290" i="1"/>
  <c r="Q290" i="1"/>
  <c r="P190" i="1"/>
  <c r="Q190" i="1"/>
  <c r="P169" i="1"/>
  <c r="Q169" i="1"/>
  <c r="P49" i="1"/>
  <c r="Q49" i="1"/>
  <c r="Q82" i="1"/>
  <c r="Q361" i="1"/>
  <c r="Q351" i="1"/>
  <c r="Q341" i="1"/>
  <c r="Q331" i="1"/>
  <c r="Q321" i="1"/>
  <c r="Q311" i="1"/>
  <c r="Q301" i="1"/>
  <c r="Q291" i="1"/>
  <c r="Q281" i="1"/>
  <c r="Q261" i="1"/>
  <c r="Q251" i="1"/>
  <c r="Q241" i="1"/>
  <c r="Q221" i="1"/>
  <c r="Q211" i="1"/>
  <c r="Q191" i="1"/>
  <c r="Q181" i="1"/>
  <c r="Q171" i="1"/>
  <c r="Q161" i="1"/>
  <c r="Q151" i="1"/>
  <c r="Q141" i="1"/>
  <c r="Q131" i="1"/>
  <c r="Q111" i="1"/>
  <c r="Q101" i="1"/>
  <c r="Q91" i="1"/>
  <c r="Q71" i="1"/>
  <c r="Q61" i="1"/>
  <c r="Q51" i="1"/>
  <c r="Q41" i="1"/>
  <c r="Q31" i="1"/>
  <c r="Q21" i="1"/>
  <c r="N2" i="1"/>
  <c r="Q359" i="1"/>
  <c r="Q349" i="1"/>
  <c r="Q339" i="1"/>
  <c r="Q329" i="1"/>
  <c r="Q319" i="1"/>
  <c r="Q309" i="1"/>
  <c r="Q299" i="1"/>
  <c r="Q279" i="1"/>
  <c r="Q269" i="1"/>
  <c r="Q259" i="1"/>
  <c r="Q249" i="1"/>
  <c r="Q239" i="1"/>
  <c r="Q229" i="1"/>
  <c r="Q209" i="1"/>
  <c r="Q199" i="1"/>
  <c r="Q189" i="1"/>
  <c r="Q179" i="1"/>
  <c r="Q159" i="1"/>
  <c r="Q149" i="1"/>
  <c r="Q139" i="1"/>
  <c r="Q129" i="1"/>
  <c r="Q119" i="1"/>
  <c r="Q109" i="1"/>
  <c r="Q99" i="1"/>
  <c r="Q89" i="1"/>
  <c r="Q79" i="1"/>
  <c r="Q69" i="1"/>
  <c r="Q59" i="1"/>
  <c r="Q39" i="1"/>
  <c r="Q29" i="1"/>
  <c r="Q19" i="1"/>
  <c r="Q9" i="1"/>
  <c r="P2" i="1"/>
  <c r="Q2" i="1"/>
  <c r="Q357" i="1"/>
  <c r="Q347" i="1"/>
  <c r="Q337" i="1"/>
  <c r="Q327" i="1"/>
  <c r="Q317" i="1"/>
  <c r="Q307" i="1"/>
  <c r="Q297" i="1"/>
  <c r="Q287" i="1"/>
  <c r="Q277" i="1"/>
  <c r="Q267" i="1"/>
  <c r="Q257" i="1"/>
  <c r="Q247" i="1"/>
  <c r="Q237" i="1"/>
  <c r="Q227" i="1"/>
  <c r="Q217" i="1"/>
  <c r="Q207" i="1"/>
  <c r="Q197" i="1"/>
  <c r="Q187" i="1"/>
  <c r="Q177" i="1"/>
  <c r="Q167" i="1"/>
  <c r="Q157" i="1"/>
  <c r="Q147" i="1"/>
  <c r="Q137" i="1"/>
  <c r="Q127" i="1"/>
  <c r="Q117" i="1"/>
  <c r="Q107" i="1"/>
  <c r="Q97" i="1"/>
  <c r="Q87" i="1"/>
  <c r="Q77" i="1"/>
  <c r="Q67" i="1"/>
  <c r="Q57" i="1"/>
  <c r="Q47" i="1"/>
  <c r="Q37" i="1"/>
  <c r="Q27" i="1"/>
  <c r="Q17" i="1"/>
  <c r="Q7" i="1"/>
  <c r="Q286" i="1"/>
  <c r="Q276" i="1"/>
  <c r="Q266" i="1"/>
  <c r="Q256" i="1"/>
  <c r="Q246" i="1"/>
  <c r="Q236" i="1"/>
  <c r="Q226" i="1"/>
  <c r="Q216" i="1"/>
  <c r="Q206" i="1"/>
  <c r="Q196" i="1"/>
  <c r="Q186" i="1"/>
  <c r="Q176" i="1"/>
  <c r="Q166" i="1"/>
  <c r="Q156" i="1"/>
  <c r="Q146" i="1"/>
  <c r="Q136" i="1"/>
  <c r="Q126" i="1"/>
  <c r="Q116" i="1"/>
  <c r="Q106" i="1"/>
  <c r="Q96" i="1"/>
  <c r="Q86" i="1"/>
  <c r="Q76" i="1"/>
  <c r="Q66" i="1"/>
  <c r="Q56" i="1"/>
  <c r="Q46" i="1"/>
  <c r="Q36" i="1"/>
  <c r="Q26" i="1"/>
  <c r="Q16" i="1"/>
  <c r="Q6" i="1"/>
  <c r="Q365" i="1"/>
  <c r="Q355" i="1"/>
  <c r="Q345" i="1"/>
  <c r="Q335" i="1"/>
  <c r="Q325" i="1"/>
  <c r="Q315" i="1"/>
  <c r="Q305" i="1"/>
  <c r="Q295" i="1"/>
  <c r="Q285" i="1"/>
  <c r="Q275" i="1"/>
  <c r="Q265" i="1"/>
  <c r="Q255" i="1"/>
  <c r="Q245" i="1"/>
  <c r="Q235" i="1"/>
  <c r="Q225" i="1"/>
  <c r="Q215" i="1"/>
  <c r="Q205" i="1"/>
  <c r="Q195" i="1"/>
  <c r="Q185" i="1"/>
  <c r="Q175" i="1"/>
  <c r="Q165" i="1"/>
  <c r="Q155" i="1"/>
  <c r="Q145" i="1"/>
  <c r="Q135" i="1"/>
  <c r="Q125" i="1"/>
  <c r="Q115" i="1"/>
  <c r="Q105" i="1"/>
  <c r="Q95" i="1"/>
  <c r="Q85" i="1"/>
  <c r="Q75" i="1"/>
  <c r="Q65" i="1"/>
  <c r="Q55" i="1"/>
  <c r="Q45" i="1"/>
  <c r="Q35" i="1"/>
  <c r="Q25" i="1"/>
  <c r="Q15" i="1"/>
  <c r="Q5" i="1"/>
  <c r="Q364" i="1"/>
  <c r="Q314" i="1"/>
  <c r="Q294" i="1"/>
  <c r="Q264" i="1"/>
  <c r="Q254" i="1"/>
  <c r="Q244" i="1"/>
  <c r="Q214" i="1"/>
  <c r="Q204" i="1"/>
  <c r="Q194" i="1"/>
  <c r="Q164" i="1"/>
  <c r="Q124" i="1"/>
  <c r="Q104" i="1"/>
  <c r="Q84" i="1"/>
  <c r="Q34" i="1"/>
  <c r="Q14" i="1"/>
  <c r="Q4" i="1"/>
  <c r="Q324" i="1"/>
  <c r="Q363" i="1"/>
  <c r="Q353" i="1"/>
  <c r="Q343" i="1"/>
  <c r="Q333" i="1"/>
  <c r="Q323" i="1"/>
  <c r="Q313" i="1"/>
  <c r="Q303" i="1"/>
  <c r="Q293" i="1"/>
  <c r="Q283" i="1"/>
  <c r="Q273" i="1"/>
  <c r="Q263" i="1"/>
  <c r="Q243" i="1"/>
  <c r="Q233" i="1"/>
  <c r="Q223" i="1"/>
  <c r="Q213" i="1"/>
  <c r="Q193" i="1"/>
  <c r="Q183" i="1"/>
  <c r="Q173" i="1"/>
  <c r="Q163" i="1"/>
  <c r="Q153" i="1"/>
  <c r="Q143" i="1"/>
  <c r="Q133" i="1"/>
  <c r="Q123" i="1"/>
  <c r="Q113" i="1"/>
  <c r="Q103" i="1"/>
  <c r="Q93" i="1"/>
  <c r="Q83" i="1"/>
  <c r="Q73" i="1"/>
  <c r="Q53" i="1"/>
  <c r="Q43" i="1"/>
  <c r="Q33" i="1"/>
  <c r="Q23" i="1"/>
  <c r="Q13" i="1"/>
  <c r="Q3" i="1"/>
  <c r="P11" i="1"/>
  <c r="R2" i="1" l="1"/>
  <c r="R1" i="1"/>
</calcChain>
</file>

<file path=xl/sharedStrings.xml><?xml version="1.0" encoding="utf-8"?>
<sst xmlns="http://schemas.openxmlformats.org/spreadsheetml/2006/main" count="36" uniqueCount="21">
  <si>
    <t>Date</t>
  </si>
  <si>
    <t>BeginStockQty</t>
  </si>
  <si>
    <t>GrnQty</t>
  </si>
  <si>
    <t>SaleQty</t>
  </si>
  <si>
    <t>EndStockQty</t>
  </si>
  <si>
    <t>SalePrice</t>
  </si>
  <si>
    <t>Holiday</t>
  </si>
  <si>
    <t>Loss</t>
  </si>
  <si>
    <t>p</t>
  </si>
  <si>
    <t>mean_demand</t>
  </si>
  <si>
    <t>std_demand</t>
  </si>
  <si>
    <t>StartingInventory</t>
  </si>
  <si>
    <t>StartingInventory(ignore sales)</t>
  </si>
  <si>
    <t>other method</t>
  </si>
  <si>
    <t>Period</t>
  </si>
  <si>
    <t>Row Labels</t>
  </si>
  <si>
    <t>(blank)</t>
  </si>
  <si>
    <t>Grand Total</t>
  </si>
  <si>
    <t>Max of BeginStockQty</t>
  </si>
  <si>
    <t>Sum of Loss</t>
  </si>
  <si>
    <t>Count of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</si>
</sst>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5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an Sinclair" refreshedDate="45289.716941666666" createdVersion="8" refreshedVersion="8" minRefreshableVersion="3" recordCount="366" xr:uid="{27F11263-F353-F34D-9478-8AC1E6107C09}">
  <cacheSource type="worksheet">
    <worksheetSource ref="A1:K1048576" sheet="Sheet2"/>
  </cacheSource>
  <cacheFields count="11">
    <cacheField name="Date" numFmtId="0">
      <sharedItems containsNonDate="0" containsDate="1" containsString="0" containsBlank="1" minDate="2013-01-01T00:00:00" maxDate="2014-01-01T00:00:00"/>
    </cacheField>
    <cacheField name="Period" numFmtId="0">
      <sharedItems containsString="0" containsBlank="1" containsNumber="1" containsInteger="1" minValue="1" maxValue="102" count="10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m/>
      </sharedItems>
    </cacheField>
    <cacheField name="BeginStockQty" numFmtId="0">
      <sharedItems containsString="0" containsBlank="1" containsNumber="1" minValue="3.3262123999999997E-2" maxValue="51.318500700000001"/>
    </cacheField>
    <cacheField name="GrnQty" numFmtId="0">
      <sharedItems containsString="0" containsBlank="1" containsNumber="1" minValue="0" maxValue="59.2"/>
    </cacheField>
    <cacheField name="SaleQty" numFmtId="0">
      <sharedItems containsString="0" containsBlank="1" containsNumber="1" minValue="0.218437357" maxValue="15.77778009"/>
    </cacheField>
    <cacheField name="EndStockQty" numFmtId="0">
      <sharedItems containsString="0" containsBlank="1" containsNumber="1" minValue="3.3262123999999997E-2" maxValue="51.318500700000001"/>
    </cacheField>
    <cacheField name="SalePrice" numFmtId="0">
      <sharedItems containsString="0" containsBlank="1" containsNumber="1" minValue="4.8768588350000002" maxValue="15.20604397"/>
    </cacheField>
    <cacheField name="Holiday" numFmtId="0">
      <sharedItems containsString="0" containsBlank="1" containsNumber="1" containsInteger="1" minValue="0" maxValue="1"/>
    </cacheField>
    <cacheField name="StartingInventory" numFmtId="0">
      <sharedItems containsString="0" containsBlank="1" containsNumber="1" minValue="4.1859290999999743E-2" maxValue="53.270722204000002"/>
    </cacheField>
    <cacheField name="StartingInventory(ignore sales)" numFmtId="0">
      <sharedItems containsString="0" containsBlank="1" containsNumber="1" minValue="2.3580341069999999" maxValue="64.925059074000004"/>
    </cacheField>
    <cacheField name="Loss" numFmtId="0">
      <sharedItems containsString="0" containsBlank="1" containsNumber="1" minValue="6.492000000690723E-6" maxValue="2.30382058199999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6">
  <r>
    <d v="2013-01-01T00:00:00"/>
    <x v="0"/>
    <n v="28.362150790000001"/>
    <n v="0"/>
    <n v="2.4326272929999999"/>
    <n v="25.881052189999998"/>
    <n v="6.2585092089999996"/>
    <n v="0"/>
    <n v="25.929523497000002"/>
    <n v="28.362150790000001"/>
    <n v="4.847130700000335E-2"/>
  </r>
  <r>
    <d v="2013-01-02T00:00:00"/>
    <x v="0"/>
    <n v="25.881052189999998"/>
    <n v="0"/>
    <n v="4.2733658879999998"/>
    <n v="19.303865720000001"/>
    <n v="5.8628262089999996"/>
    <n v="0"/>
    <n v="21.607686301999998"/>
    <n v="25.881052189999998"/>
    <n v="2.3038205819999966"/>
  </r>
  <r>
    <d v="2013-01-03T00:00:00"/>
    <x v="0"/>
    <n v="19.303865720000001"/>
    <n v="0"/>
    <n v="3.9495427049999998"/>
    <n v="14.929142710000001"/>
    <n v="6.6823200070000004"/>
    <n v="0"/>
    <n v="15.354323015000002"/>
    <n v="19.303865720000001"/>
    <n v="0.42518030500000137"/>
  </r>
  <r>
    <d v="2013-01-04T00:00:00"/>
    <x v="0"/>
    <n v="14.929142710000001"/>
    <n v="0"/>
    <n v="3.4605390429999998"/>
    <n v="11.127760179999999"/>
    <n v="5.1488433540000003"/>
    <n v="0"/>
    <n v="11.468603667"/>
    <n v="14.929142710000001"/>
    <n v="0.34084348700000078"/>
  </r>
  <r>
    <d v="2013-01-05T00:00:00"/>
    <x v="0"/>
    <n v="11.127760179999999"/>
    <n v="0"/>
    <n v="3.0430254780000001"/>
    <n v="8.0727017859999997"/>
    <n v="6.1214076000000004"/>
    <n v="0"/>
    <n v="8.0847347019999987"/>
    <n v="11.127760179999999"/>
    <n v="1.2032915999999005E-2"/>
  </r>
  <r>
    <d v="2013-01-06T00:00:00"/>
    <x v="0"/>
    <n v="8.0727017859999997"/>
    <n v="0"/>
    <n v="3.2865184580000002"/>
    <n v="4.7520035710000004"/>
    <n v="4.8768588350000002"/>
    <n v="0"/>
    <n v="4.7861833279999999"/>
    <n v="8.0727017859999997"/>
    <n v="3.4179756999999533E-2"/>
  </r>
  <r>
    <d v="2013-01-07T00:00:00"/>
    <x v="1"/>
    <n v="4.7520035710000004"/>
    <n v="4.7"/>
    <n v="3.5560864780000001"/>
    <n v="5.8595306479999998"/>
    <n v="7.38076518"/>
    <n v="0"/>
    <n v="5.8959170930000004"/>
    <n v="9.4520035710000005"/>
    <n v="3.6386445000000656E-2"/>
  </r>
  <r>
    <d v="2013-01-08T00:00:00"/>
    <x v="1"/>
    <n v="5.8595306479999998"/>
    <n v="0"/>
    <n v="2.8517199350000002"/>
    <n v="2.9986823490000001"/>
    <n v="7.1194814959999997"/>
    <n v="0"/>
    <n v="3.0078107129999996"/>
    <n v="5.8595306479999998"/>
    <n v="9.1283639999995003E-3"/>
  </r>
  <r>
    <d v="2013-01-09T00:00:00"/>
    <x v="1"/>
    <n v="2.9986823490000001"/>
    <n v="0"/>
    <n v="0.57471355300000004"/>
    <n v="2.3580341069999999"/>
    <n v="7.0891299490000002"/>
    <n v="0"/>
    <n v="2.423968796"/>
    <n v="2.9986823490000001"/>
    <n v="6.5934689000000102E-2"/>
  </r>
  <r>
    <d v="2013-01-10T00:00:00"/>
    <x v="1"/>
    <n v="2.3580341069999999"/>
    <n v="0"/>
    <n v="2.3161748160000002"/>
    <n v="3.3262123999999997E-2"/>
    <n v="6.6638185400000003"/>
    <n v="0"/>
    <n v="4.1859290999999743E-2"/>
    <n v="2.3580341069999999"/>
    <n v="8.597166999999746E-3"/>
  </r>
  <r>
    <d v="2013-01-11T00:00:00"/>
    <x v="2"/>
    <n v="3.3262123999999997E-2"/>
    <n v="24.4"/>
    <n v="4.7236360499999996"/>
    <n v="19.287140910000002"/>
    <n v="5.8489184959999996"/>
    <n v="0"/>
    <n v="19.709626073999999"/>
    <n v="24.433262123999999"/>
    <n v="0.42248516399999758"/>
  </r>
  <r>
    <d v="2013-01-12T00:00:00"/>
    <x v="2"/>
    <n v="19.287140910000002"/>
    <n v="0"/>
    <n v="4.9826323869999998"/>
    <n v="14.301608310000001"/>
    <n v="5.9785161740000001"/>
    <n v="0"/>
    <n v="14.304508523000003"/>
    <n v="19.287140910000002"/>
    <n v="2.9002130000019832E-3"/>
  </r>
  <r>
    <d v="2013-01-13T00:00:00"/>
    <x v="2"/>
    <n v="14.301608310000001"/>
    <n v="0"/>
    <n v="4.2931267670000004"/>
    <n v="9.5991907669999996"/>
    <n v="6.9469976710000001"/>
    <n v="0"/>
    <n v="10.008481543"/>
    <n v="14.301608310000001"/>
    <n v="0.40929077600000063"/>
  </r>
  <r>
    <d v="2013-01-14T00:00:00"/>
    <x v="2"/>
    <n v="9.5991907669999996"/>
    <n v="0"/>
    <n v="3.026662934"/>
    <n v="6.4653166950000003"/>
    <n v="5.9852000800000003"/>
    <n v="0"/>
    <n v="6.5725278329999997"/>
    <n v="9.5991907669999996"/>
    <n v="0.10721113799999937"/>
  </r>
  <r>
    <d v="2013-01-15T00:00:00"/>
    <x v="2"/>
    <n v="6.4653166950000003"/>
    <n v="0"/>
    <n v="2.3240876699999999"/>
    <n v="4.1039811610000001"/>
    <n v="6.2842471819999997"/>
    <n v="0"/>
    <n v="4.1412290250000003"/>
    <n v="6.4653166950000003"/>
    <n v="3.7247864000000241E-2"/>
  </r>
  <r>
    <d v="2013-01-16T00:00:00"/>
    <x v="2"/>
    <n v="4.1039811610000001"/>
    <n v="0"/>
    <n v="1.6213544150000001"/>
    <n v="2.479310881"/>
    <n v="6.3591323810000002"/>
    <n v="0"/>
    <n v="2.4826267460000002"/>
    <n v="4.1039811610000001"/>
    <n v="3.315865000000251E-3"/>
  </r>
  <r>
    <d v="2013-01-17T00:00:00"/>
    <x v="3"/>
    <n v="2.479310881"/>
    <n v="20.6"/>
    <n v="2.6110268130000001"/>
    <n v="20.268358490000001"/>
    <n v="6.4964946179999998"/>
    <n v="0"/>
    <n v="20.468284068000003"/>
    <n v="23.079310881000001"/>
    <n v="0.19992557800000199"/>
  </r>
  <r>
    <d v="2013-01-18T00:00:00"/>
    <x v="3"/>
    <n v="20.268358490000001"/>
    <n v="0"/>
    <n v="2.6318540129999999"/>
    <n v="17.27785544"/>
    <n v="7.4140671359999999"/>
    <n v="0"/>
    <n v="17.636504477000003"/>
    <n v="20.268358490000001"/>
    <n v="0.35864903700000283"/>
  </r>
  <r>
    <d v="2013-01-19T00:00:00"/>
    <x v="3"/>
    <n v="17.27785544"/>
    <n v="0"/>
    <n v="1.493184804"/>
    <n v="15.641415820000001"/>
    <n v="7.2098460109999998"/>
    <n v="0"/>
    <n v="15.784670636"/>
    <n v="17.27785544"/>
    <n v="0.1432548159999989"/>
  </r>
  <r>
    <d v="2013-01-20T00:00:00"/>
    <x v="3"/>
    <n v="15.641415820000001"/>
    <n v="0"/>
    <n v="2.8919918870000001"/>
    <n v="12.51787504"/>
    <n v="7.5868389509999998"/>
    <n v="0"/>
    <n v="12.749423933000001"/>
    <n v="15.641415820000001"/>
    <n v="0.23154889300000114"/>
  </r>
  <r>
    <d v="2013-01-21T00:00:00"/>
    <x v="3"/>
    <n v="12.51787504"/>
    <n v="0"/>
    <n v="2.254207042"/>
    <n v="10.263630790000001"/>
    <n v="7.4706106300000004"/>
    <n v="0"/>
    <n v="10.263667997999999"/>
    <n v="12.51787504"/>
    <n v="3.7207999998400965E-5"/>
  </r>
  <r>
    <d v="2013-01-22T00:00:00"/>
    <x v="3"/>
    <n v="10.263630790000001"/>
    <n v="0"/>
    <n v="1.782996794"/>
    <n v="8.4739202549999995"/>
    <n v="7.5326745859999997"/>
    <n v="0"/>
    <n v="8.4806339959999999"/>
    <n v="10.263630790000001"/>
    <n v="6.7137410000004394E-3"/>
  </r>
  <r>
    <d v="2013-01-23T00:00:00"/>
    <x v="4"/>
    <n v="8.4739202549999995"/>
    <n v="19.600000000000001"/>
    <n v="2.9549976650000001"/>
    <n v="24.757358060000001"/>
    <n v="7.3756634559999998"/>
    <n v="0"/>
    <n v="25.11892259"/>
    <n v="28.073920255000001"/>
    <n v="0.361564529999999"/>
  </r>
  <r>
    <d v="2013-01-24T00:00:00"/>
    <x v="4"/>
    <n v="24.757358060000001"/>
    <n v="0"/>
    <n v="1.868514883"/>
    <n v="22.884012819999999"/>
    <n v="7.1743965520000001"/>
    <n v="0"/>
    <n v="22.888843177000002"/>
    <n v="24.757358060000001"/>
    <n v="4.8303570000030049E-3"/>
  </r>
  <r>
    <d v="2013-01-25T00:00:00"/>
    <x v="4"/>
    <n v="22.884012819999999"/>
    <n v="0"/>
    <n v="2.272890538"/>
    <n v="19.8215276"/>
    <n v="7.500333715"/>
    <n v="0"/>
    <n v="20.611122282"/>
    <n v="22.884012819999999"/>
    <n v="0.7895946820000006"/>
  </r>
  <r>
    <d v="2013-01-26T00:00:00"/>
    <x v="4"/>
    <n v="19.8215276"/>
    <n v="0"/>
    <n v="2.0048549759999998"/>
    <n v="17.538126999999999"/>
    <n v="7.6422529199999998"/>
    <n v="0"/>
    <n v="17.816672623999999"/>
    <n v="19.8215276"/>
    <n v="0.27854562399999949"/>
  </r>
  <r>
    <d v="2013-01-27T00:00:00"/>
    <x v="4"/>
    <n v="17.538126999999999"/>
    <n v="0"/>
    <n v="3.7877231199999999"/>
    <n v="13.70630942"/>
    <n v="7.9070049439999996"/>
    <n v="0"/>
    <n v="13.75040388"/>
    <n v="17.538126999999999"/>
    <n v="4.4094460000000169E-2"/>
  </r>
  <r>
    <d v="2013-01-28T00:00:00"/>
    <x v="4"/>
    <n v="13.70630942"/>
    <n v="0"/>
    <n v="3.4445397309999999"/>
    <n v="10.211569880000001"/>
    <n v="6.2684847640000001"/>
    <n v="0"/>
    <n v="10.261769689000001"/>
    <n v="13.70630942"/>
    <n v="5.0199809000000428E-2"/>
  </r>
  <r>
    <d v="2013-01-29T00:00:00"/>
    <x v="5"/>
    <n v="10.211569880000001"/>
    <n v="15.7"/>
    <n v="2.4023774179999999"/>
    <n v="22.821703729999999"/>
    <n v="8.1341472830000008"/>
    <n v="0"/>
    <n v="23.509192462000001"/>
    <n v="25.911569880000002"/>
    <n v="0.68748873200000205"/>
  </r>
  <r>
    <d v="2013-01-30T00:00:00"/>
    <x v="5"/>
    <n v="22.821703729999999"/>
    <n v="0"/>
    <n v="3.0634805250000001"/>
    <n v="19.75629275"/>
    <n v="7.1213423779999996"/>
    <n v="0"/>
    <n v="19.758223205"/>
    <n v="22.821703729999999"/>
    <n v="1.9304550000001086E-3"/>
  </r>
  <r>
    <d v="2013-01-31T00:00:00"/>
    <x v="5"/>
    <n v="19.75629275"/>
    <n v="0"/>
    <n v="1.29979358"/>
    <n v="18.429724700000001"/>
    <n v="8.5765533559999998"/>
    <n v="0"/>
    <n v="18.456499170000001"/>
    <n v="19.75629275"/>
    <n v="2.677446999999944E-2"/>
  </r>
  <r>
    <d v="2013-02-01T00:00:00"/>
    <x v="5"/>
    <n v="18.429724700000001"/>
    <n v="0"/>
    <n v="3.5873824089999999"/>
    <n v="14.82625869"/>
    <n v="7.6613071079999999"/>
    <n v="0"/>
    <n v="14.842342291000001"/>
    <n v="18.429724700000001"/>
    <n v="1.6083601000001835E-2"/>
  </r>
  <r>
    <d v="2013-02-02T00:00:00"/>
    <x v="5"/>
    <n v="14.82625869"/>
    <n v="0"/>
    <n v="3.224123852"/>
    <n v="10.47721754"/>
    <n v="7.6185254960000002"/>
    <n v="0"/>
    <n v="11.602134838"/>
    <n v="14.82625869"/>
    <n v="1.1249172979999997"/>
  </r>
  <r>
    <d v="2013-02-03T00:00:00"/>
    <x v="6"/>
    <n v="10.47721754"/>
    <n v="9.9"/>
    <n v="1.5783946129999999"/>
    <n v="18.69548181"/>
    <n v="7.2075221100000002"/>
    <n v="0"/>
    <n v="18.798822927"/>
    <n v="20.37721754"/>
    <n v="0.10334111699999937"/>
  </r>
  <r>
    <d v="2013-02-04T00:00:00"/>
    <x v="6"/>
    <n v="18.69548181"/>
    <n v="0"/>
    <n v="2.6112524920000002"/>
    <n v="16.06753737"/>
    <n v="7.4476529439999997"/>
    <n v="0"/>
    <n v="16.084229317999998"/>
    <n v="18.69548181"/>
    <n v="1.6691947999998291E-2"/>
  </r>
  <r>
    <d v="2013-02-05T00:00:00"/>
    <x v="6"/>
    <n v="16.06753737"/>
    <n v="0"/>
    <n v="6.3169547259999996"/>
    <n v="9.7464583299999994"/>
    <n v="7.1525691800000004"/>
    <n v="0"/>
    <n v="9.7505826440000014"/>
    <n v="16.06753737"/>
    <n v="4.1243140000020162E-3"/>
  </r>
  <r>
    <d v="2013-02-06T00:00:00"/>
    <x v="6"/>
    <n v="9.7464583299999994"/>
    <n v="0"/>
    <n v="4.0077206419999998"/>
    <n v="5.7250590739999998"/>
    <n v="7.1420788799999997"/>
    <n v="0"/>
    <n v="5.7387376879999996"/>
    <n v="9.7464583299999994"/>
    <n v="1.3678613999999811E-2"/>
  </r>
  <r>
    <d v="2013-02-07T00:00:00"/>
    <x v="7"/>
    <n v="5.7250590739999998"/>
    <n v="59.2"/>
    <n v="11.65433687"/>
    <n v="51.318500700000001"/>
    <n v="7.3288573770000003"/>
    <n v="1"/>
    <n v="53.270722204000002"/>
    <n v="64.925059074000004"/>
    <n v="1.9522215040000006"/>
  </r>
  <r>
    <d v="2013-02-08T00:00:00"/>
    <x v="7"/>
    <n v="51.318500700000001"/>
    <n v="0"/>
    <n v="13.95554621"/>
    <n v="37.24389231"/>
    <n v="7.6568927320000002"/>
    <n v="1"/>
    <n v="37.36295449"/>
    <n v="51.318500700000001"/>
    <n v="0.11906218000000024"/>
  </r>
  <r>
    <d v="2013-02-09T00:00:00"/>
    <x v="7"/>
    <n v="37.24389231"/>
    <n v="0"/>
    <n v="7.9581586020000001"/>
    <n v="29.268631509999999"/>
    <n v="8.1931869630000005"/>
    <n v="1"/>
    <n v="29.285733707999999"/>
    <n v="37.24389231"/>
    <n v="1.7102197999999902E-2"/>
  </r>
  <r>
    <d v="2013-02-10T00:00:00"/>
    <x v="7"/>
    <n v="29.268631509999999"/>
    <n v="0"/>
    <n v="1.146350395"/>
    <n v="28.117687969999999"/>
    <n v="9.1176497639999994"/>
    <n v="0"/>
    <n v="28.122281115"/>
    <n v="29.268631509999999"/>
    <n v="4.5931450000011864E-3"/>
  </r>
  <r>
    <d v="2013-02-11T00:00:00"/>
    <x v="7"/>
    <n v="28.117687969999999"/>
    <n v="0"/>
    <n v="2.1559189750000001"/>
    <n v="25.947338269999999"/>
    <n v="8.9453480719999998"/>
    <n v="0"/>
    <n v="25.961768995"/>
    <n v="28.117687969999999"/>
    <n v="1.4430725000000422E-2"/>
  </r>
  <r>
    <d v="2013-02-12T00:00:00"/>
    <x v="7"/>
    <n v="25.947338269999999"/>
    <n v="0"/>
    <n v="4.942618993"/>
    <n v="20.855228879999999"/>
    <n v="8.7151165309999996"/>
    <n v="0"/>
    <n v="21.004719277"/>
    <n v="25.947338269999999"/>
    <n v="0.149490397000001"/>
  </r>
  <r>
    <d v="2013-02-13T00:00:00"/>
    <x v="7"/>
    <n v="20.855228879999999"/>
    <n v="0"/>
    <n v="1.27371199"/>
    <n v="18.593046699999999"/>
    <n v="8.2970671589999991"/>
    <n v="0"/>
    <n v="19.58151689"/>
    <n v="20.855228879999999"/>
    <n v="0.98847019000000103"/>
  </r>
  <r>
    <d v="2013-02-14T00:00:00"/>
    <x v="7"/>
    <n v="18.593046699999999"/>
    <n v="0"/>
    <n v="1.6433429690000001"/>
    <n v="16.944904560000001"/>
    <n v="7.981937727"/>
    <n v="0"/>
    <n v="16.949703731"/>
    <n v="18.593046699999999"/>
    <n v="4.7991709999983811E-3"/>
  </r>
  <r>
    <d v="2013-02-15T00:00:00"/>
    <x v="7"/>
    <n v="16.944904560000001"/>
    <n v="0"/>
    <n v="1.5694028470000001"/>
    <n v="15.37543475"/>
    <n v="7.9391408229999998"/>
    <n v="0"/>
    <n v="15.375501713000002"/>
    <n v="16.944904560000001"/>
    <n v="6.6963000001862838E-5"/>
  </r>
  <r>
    <d v="2013-02-16T00:00:00"/>
    <x v="7"/>
    <n v="15.37543475"/>
    <n v="0"/>
    <n v="1.64885028"/>
    <n v="13.70437937"/>
    <n v="8.2667629159999994"/>
    <n v="0"/>
    <n v="13.726584470000001"/>
    <n v="15.37543475"/>
    <n v="2.2205100000000755E-2"/>
  </r>
  <r>
    <d v="2013-02-17T00:00:00"/>
    <x v="7"/>
    <n v="13.70437937"/>
    <n v="0"/>
    <n v="1.9197165359999999"/>
    <n v="11.6118668"/>
    <n v="8.1619274179999994"/>
    <n v="0"/>
    <n v="11.784662834000001"/>
    <n v="13.70437937"/>
    <n v="0.17279603400000099"/>
  </r>
  <r>
    <d v="2013-02-18T00:00:00"/>
    <x v="7"/>
    <n v="11.6118668"/>
    <n v="0"/>
    <n v="2.3637521750000001"/>
    <n v="9.1625455020000004"/>
    <n v="8.1024315609999995"/>
    <n v="0"/>
    <n v="9.2481146249999995"/>
    <n v="11.6118668"/>
    <n v="8.5569122999999081E-2"/>
  </r>
  <r>
    <d v="2013-02-19T00:00:00"/>
    <x v="7"/>
    <n v="9.1625455020000004"/>
    <n v="0"/>
    <n v="2.5132496080000002"/>
    <n v="6.4348140750000002"/>
    <n v="8.2044935330000008"/>
    <n v="0"/>
    <n v="6.6492958939999998"/>
    <n v="9.1625455020000004"/>
    <n v="0.21448181899999952"/>
  </r>
  <r>
    <d v="2013-02-20T00:00:00"/>
    <x v="8"/>
    <n v="6.4348140750000002"/>
    <n v="10.6"/>
    <n v="3.6300685659999998"/>
    <n v="13.170838460000001"/>
    <n v="7.9612688619999998"/>
    <n v="0"/>
    <n v="13.404745509"/>
    <n v="17.034814075"/>
    <n v="0.23390704899999903"/>
  </r>
  <r>
    <d v="2013-02-21T00:00:00"/>
    <x v="8"/>
    <n v="13.170838460000001"/>
    <n v="0"/>
    <n v="1.818807971"/>
    <n v="11.35145676"/>
    <n v="8.0057131269999999"/>
    <n v="0"/>
    <n v="11.352030489000001"/>
    <n v="13.170838460000001"/>
    <n v="5.7372900000096649E-4"/>
  </r>
  <r>
    <d v="2013-02-22T00:00:00"/>
    <x v="9"/>
    <n v="11.35145676"/>
    <n v="10.4"/>
    <n v="1.3746897570000001"/>
    <n v="20.37669481"/>
    <n v="7.9518749529999999"/>
    <n v="0"/>
    <n v="20.376767003000001"/>
    <n v="21.75145676"/>
    <n v="7.2193000001163909E-5"/>
  </r>
  <r>
    <d v="2013-02-23T00:00:00"/>
    <x v="9"/>
    <n v="20.37669481"/>
    <n v="0"/>
    <n v="1.364667281"/>
    <n v="18.976395579999998"/>
    <n v="8.3637904850000009"/>
    <n v="0"/>
    <n v="19.012027529000001"/>
    <n v="20.37669481"/>
    <n v="3.563194900000255E-2"/>
  </r>
  <r>
    <d v="2013-02-24T00:00:00"/>
    <x v="9"/>
    <n v="18.976395579999998"/>
    <n v="0"/>
    <n v="4.8731141769999997"/>
    <n v="14.026807160000001"/>
    <n v="8.1788802940000007"/>
    <n v="0"/>
    <n v="14.103281402999999"/>
    <n v="18.976395579999998"/>
    <n v="7.6474242999998054E-2"/>
  </r>
  <r>
    <d v="2013-02-25T00:00:00"/>
    <x v="9"/>
    <n v="14.026807160000001"/>
    <n v="0"/>
    <n v="1.6060523680000001"/>
    <n v="12.356380980000001"/>
    <n v="8.2986414540000002"/>
    <n v="0"/>
    <n v="12.420754792"/>
    <n v="14.026807160000001"/>
    <n v="6.4373811999999475E-2"/>
  </r>
  <r>
    <d v="2013-02-26T00:00:00"/>
    <x v="9"/>
    <n v="12.356380980000001"/>
    <n v="0"/>
    <n v="3.0658802540000001"/>
    <n v="9.2891499569999993"/>
    <n v="8.1659544579999999"/>
    <n v="0"/>
    <n v="9.2905007260000012"/>
    <n v="12.356380980000001"/>
    <n v="1.3507690000018613E-3"/>
  </r>
  <r>
    <d v="2013-02-27T00:00:00"/>
    <x v="10"/>
    <n v="9.2891499569999993"/>
    <n v="19.7"/>
    <n v="1.967770834"/>
    <n v="26.587999809999999"/>
    <n v="8.4507986469999992"/>
    <n v="0"/>
    <n v="27.021379122999999"/>
    <n v="28.989149956999999"/>
    <n v="0.43337931299999966"/>
  </r>
  <r>
    <d v="2013-02-28T00:00:00"/>
    <x v="10"/>
    <n v="26.587999809999999"/>
    <n v="0"/>
    <n v="1.1123972179999999"/>
    <n v="24.646036930000001"/>
    <n v="8.5020501209999999"/>
    <n v="0"/>
    <n v="25.475602592000001"/>
    <n v="26.587999809999999"/>
    <n v="0.82956566200000026"/>
  </r>
  <r>
    <d v="2013-03-01T00:00:00"/>
    <x v="10"/>
    <n v="24.646036930000001"/>
    <n v="0"/>
    <n v="2.7518471610000002"/>
    <n v="21.626589209999999"/>
    <n v="8.8171092770000001"/>
    <n v="0"/>
    <n v="21.894189769"/>
    <n v="24.646036930000001"/>
    <n v="0.26760055900000168"/>
  </r>
  <r>
    <d v="2013-03-02T00:00:00"/>
    <x v="10"/>
    <n v="21.626589209999999"/>
    <n v="0"/>
    <n v="1.1503754580000001"/>
    <n v="19.49697123"/>
    <n v="8.4877101869999994"/>
    <n v="0"/>
    <n v="20.476213752"/>
    <n v="21.626589209999999"/>
    <n v="0.97924252199999984"/>
  </r>
  <r>
    <d v="2013-03-03T00:00:00"/>
    <x v="11"/>
    <n v="19.49697123"/>
    <n v="10.5"/>
    <n v="4.3824627080000003"/>
    <n v="24.975026939999999"/>
    <n v="7.595878989"/>
    <n v="0"/>
    <n v="25.614508522000001"/>
    <n v="29.99697123"/>
    <n v="0.63948158200000194"/>
  </r>
  <r>
    <d v="2013-03-04T00:00:00"/>
    <x v="11"/>
    <n v="24.975026939999999"/>
    <n v="0"/>
    <n v="3.5697008719999999"/>
    <n v="20.93097375"/>
    <n v="8.2132969150000008"/>
    <n v="0"/>
    <n v="21.405326068000001"/>
    <n v="24.975026939999999"/>
    <n v="0.47435231800000111"/>
  </r>
  <r>
    <d v="2013-03-05T00:00:00"/>
    <x v="11"/>
    <n v="20.93097375"/>
    <n v="0"/>
    <n v="3.3810646169999998"/>
    <n v="17.295522049999999"/>
    <n v="7.8656471359999998"/>
    <n v="0"/>
    <n v="17.549909133"/>
    <n v="20.93097375"/>
    <n v="0.25438708300000101"/>
  </r>
  <r>
    <d v="2013-03-06T00:00:00"/>
    <x v="12"/>
    <n v="17.295522049999999"/>
    <n v="15.5"/>
    <n v="2.0771000800000001"/>
    <n v="30.02147707"/>
    <n v="7.9289669009999999"/>
    <n v="0"/>
    <n v="30.718421970000001"/>
    <n v="32.795522050000002"/>
    <n v="0.69694490000000187"/>
  </r>
  <r>
    <d v="2013-03-07T00:00:00"/>
    <x v="12"/>
    <n v="30.02147707"/>
    <n v="0"/>
    <n v="1.9973194510000001"/>
    <n v="28.022267540000001"/>
    <n v="8.7346647199999996"/>
    <n v="0"/>
    <n v="28.024157619"/>
    <n v="30.02147707"/>
    <n v="1.8900789999989343E-3"/>
  </r>
  <r>
    <d v="2013-03-08T00:00:00"/>
    <x v="12"/>
    <n v="28.022267540000001"/>
    <n v="0"/>
    <n v="1.55838152"/>
    <n v="26.299184830000002"/>
    <n v="8.8325716199999995"/>
    <n v="0"/>
    <n v="26.46388602"/>
    <n v="28.022267540000001"/>
    <n v="0.16470118999999883"/>
  </r>
  <r>
    <d v="2013-03-09T00:00:00"/>
    <x v="12"/>
    <n v="26.299184830000002"/>
    <n v="0"/>
    <n v="2.492973868"/>
    <n v="23.805601559999999"/>
    <n v="8.9185506369999992"/>
    <n v="0"/>
    <n v="23.806210962000002"/>
    <n v="26.299184830000002"/>
    <n v="6.0940200000203504E-4"/>
  </r>
  <r>
    <d v="2013-03-10T00:00:00"/>
    <x v="12"/>
    <n v="23.805601559999999"/>
    <n v="0"/>
    <n v="5.4658030000000002"/>
    <n v="18.29074189"/>
    <n v="8.007440227"/>
    <n v="0"/>
    <n v="18.339798559999998"/>
    <n v="23.805601559999999"/>
    <n v="4.9056669999998803E-2"/>
  </r>
  <r>
    <d v="2013-03-11T00:00:00"/>
    <x v="12"/>
    <n v="18.29074189"/>
    <n v="0"/>
    <n v="2.9452095800000002"/>
    <n v="15.156843240000001"/>
    <n v="8.3405137570000001"/>
    <n v="0"/>
    <n v="15.345532309999999"/>
    <n v="18.29074189"/>
    <n v="0.18868906999999879"/>
  </r>
  <r>
    <d v="2013-03-12T00:00:00"/>
    <x v="12"/>
    <n v="15.156843240000001"/>
    <n v="0"/>
    <n v="3.724621929"/>
    <n v="10.848260570000001"/>
    <n v="8.1009012770000002"/>
    <n v="0"/>
    <n v="11.432221311000001"/>
    <n v="15.156843240000001"/>
    <n v="0.58396074100000028"/>
  </r>
  <r>
    <d v="2013-03-13T00:00:00"/>
    <x v="12"/>
    <n v="10.848260570000001"/>
    <n v="0"/>
    <n v="3.0039346029999998"/>
    <n v="7.8392433280000002"/>
    <n v="8.4585778289999993"/>
    <n v="0"/>
    <n v="7.8443259670000014"/>
    <n v="10.848260570000001"/>
    <n v="5.0826390000011656E-3"/>
  </r>
  <r>
    <d v="2013-03-14T00:00:00"/>
    <x v="12"/>
    <n v="7.8392433280000002"/>
    <n v="0"/>
    <n v="3.2481312510000002"/>
    <n v="4.5221177939999997"/>
    <n v="8.1109650139999996"/>
    <n v="0"/>
    <n v="4.591112077"/>
    <n v="7.8392433280000002"/>
    <n v="6.8994283000000323E-2"/>
  </r>
  <r>
    <d v="2013-03-15T00:00:00"/>
    <x v="12"/>
    <n v="4.5221177939999997"/>
    <n v="0"/>
    <n v="3.3639473020000001"/>
    <n v="1.094408032"/>
    <n v="7.5101243650000002"/>
    <n v="0"/>
    <n v="1.1581704919999996"/>
    <n v="4.5221177939999997"/>
    <n v="6.3762459999999521E-2"/>
  </r>
  <r>
    <d v="2013-03-16T00:00:00"/>
    <x v="13"/>
    <n v="1.094408032"/>
    <n v="14.3"/>
    <n v="5.7165968439999997"/>
    <n v="9.6718711339999999"/>
    <n v="8.1142350509999996"/>
    <n v="0"/>
    <n v="9.6778111880000015"/>
    <n v="15.394408032000001"/>
    <n v="5.9400540000016377E-3"/>
  </r>
  <r>
    <d v="2013-03-17T00:00:00"/>
    <x v="13"/>
    <n v="9.6718711339999999"/>
    <n v="0"/>
    <n v="2.8952623380000002"/>
    <n v="6.7661780809999996"/>
    <n v="7.950443623"/>
    <n v="0"/>
    <n v="6.7766087959999997"/>
    <n v="9.6718711339999999"/>
    <n v="1.0430715000000035E-2"/>
  </r>
  <r>
    <d v="2013-03-18T00:00:00"/>
    <x v="13"/>
    <n v="6.7661780809999996"/>
    <n v="0"/>
    <n v="3.0381376430000002"/>
    <n v="3.6030852050000002"/>
    <n v="7.9888118710000002"/>
    <n v="0"/>
    <n v="3.7280404379999994"/>
    <n v="6.7661780809999996"/>
    <n v="0.12495523299999922"/>
  </r>
  <r>
    <d v="2013-03-19T00:00:00"/>
    <x v="14"/>
    <n v="3.6030852050000002"/>
    <n v="15.3"/>
    <n v="2.3652515269999999"/>
    <n v="16.531203959999999"/>
    <n v="7.969773376"/>
    <n v="0"/>
    <n v="16.537833677999998"/>
    <n v="18.903085205"/>
    <n v="6.6297179999992295E-3"/>
  </r>
  <r>
    <d v="2013-03-20T00:00:00"/>
    <x v="14"/>
    <n v="16.531203959999999"/>
    <n v="0"/>
    <n v="3.9550560269999999"/>
    <n v="12.138878500000001"/>
    <n v="8.0554770449999999"/>
    <n v="0"/>
    <n v="12.576147933"/>
    <n v="16.531203959999999"/>
    <n v="0.4372694329999991"/>
  </r>
  <r>
    <d v="2013-03-21T00:00:00"/>
    <x v="14"/>
    <n v="12.138878500000001"/>
    <n v="0"/>
    <n v="2.7473281190000001"/>
    <n v="9.3232154010000006"/>
    <n v="7.9951242699999998"/>
    <n v="0"/>
    <n v="9.3915503810000001"/>
    <n v="12.138878500000001"/>
    <n v="6.833497999999949E-2"/>
  </r>
  <r>
    <d v="2013-03-22T00:00:00"/>
    <x v="14"/>
    <n v="9.3232154010000006"/>
    <n v="0"/>
    <n v="2.8523339270000001"/>
    <n v="6.4701379699999997"/>
    <n v="8.170673936"/>
    <n v="0"/>
    <n v="6.4708814740000005"/>
    <n v="9.3232154010000006"/>
    <n v="7.4350400000078309E-4"/>
  </r>
  <r>
    <d v="2013-03-23T00:00:00"/>
    <x v="15"/>
    <n v="6.4701379699999997"/>
    <n v="14.3"/>
    <n v="3.2836979890000002"/>
    <n v="16.768868560000001"/>
    <n v="8.4467729560000002"/>
    <n v="0"/>
    <n v="17.486439981"/>
    <n v="20.77013797"/>
    <n v="0.71757142099999882"/>
  </r>
  <r>
    <d v="2013-03-24T00:00:00"/>
    <x v="15"/>
    <n v="16.768868560000001"/>
    <n v="0"/>
    <n v="3.3501009850000001"/>
    <n v="13.176724399999999"/>
    <n v="8.4595369569999992"/>
    <n v="0"/>
    <n v="13.418767575"/>
    <n v="16.768868560000001"/>
    <n v="0.24204317500000094"/>
  </r>
  <r>
    <d v="2013-03-25T00:00:00"/>
    <x v="15"/>
    <n v="13.176724399999999"/>
    <n v="0"/>
    <n v="4.3988835120000003"/>
    <n v="8.6388239099999993"/>
    <n v="8.2925108319999996"/>
    <n v="0"/>
    <n v="8.7778408880000001"/>
    <n v="13.176724399999999"/>
    <n v="0.13901697800000079"/>
  </r>
  <r>
    <d v="2013-03-26T00:00:00"/>
    <x v="15"/>
    <n v="8.6388239099999993"/>
    <n v="0"/>
    <n v="4.7810398640000003"/>
    <n v="3.8005675029999999"/>
    <n v="7.9683529039999996"/>
    <n v="0"/>
    <n v="3.857784045999999"/>
    <n v="8.6388239099999993"/>
    <n v="5.721654299999912E-2"/>
  </r>
  <r>
    <d v="2013-03-27T00:00:00"/>
    <x v="16"/>
    <n v="3.8005675029999999"/>
    <n v="14.4"/>
    <n v="1.924619643"/>
    <n v="16.214856730000001"/>
    <n v="8.9227381690000005"/>
    <n v="0"/>
    <n v="16.275947860000002"/>
    <n v="18.200567503000002"/>
    <n v="6.1091130000001215E-2"/>
  </r>
  <r>
    <d v="2013-03-28T00:00:00"/>
    <x v="16"/>
    <n v="16.214856730000001"/>
    <n v="0"/>
    <n v="2.0240626800000001"/>
    <n v="14.14677698"/>
    <n v="9.1128676219999996"/>
    <n v="0"/>
    <n v="14.190794050000001"/>
    <n v="16.214856730000001"/>
    <n v="4.4017070000000658E-2"/>
  </r>
  <r>
    <d v="2013-03-29T00:00:00"/>
    <x v="16"/>
    <n v="14.14677698"/>
    <n v="0"/>
    <n v="2.3413679159999998"/>
    <n v="11.74828503"/>
    <n v="8.4757760599999994"/>
    <n v="0"/>
    <n v="11.805409064000001"/>
    <n v="14.14677698"/>
    <n v="5.7124034000000989E-2"/>
  </r>
  <r>
    <d v="2013-03-30T00:00:00"/>
    <x v="16"/>
    <n v="11.74828503"/>
    <n v="0"/>
    <n v="1.361484157"/>
    <n v="10.35699417"/>
    <n v="7.9919455580000003"/>
    <n v="0"/>
    <n v="10.386800873"/>
    <n v="11.74828503"/>
    <n v="2.9806703000000212E-2"/>
  </r>
  <r>
    <d v="2013-03-31T00:00:00"/>
    <x v="16"/>
    <n v="10.35699417"/>
    <n v="0"/>
    <n v="2.4914282430000001"/>
    <n v="7.186360079"/>
    <n v="8.2464030439999991"/>
    <n v="0"/>
    <n v="7.8655659270000005"/>
    <n v="10.35699417"/>
    <n v="0.6792058480000005"/>
  </r>
  <r>
    <d v="2013-04-01T00:00:00"/>
    <x v="17"/>
    <n v="7.186360079"/>
    <n v="15.6"/>
    <n v="3.0161764089999998"/>
    <n v="19.74047977"/>
    <n v="8.4080313239999995"/>
    <n v="0"/>
    <n v="19.770183669999998"/>
    <n v="22.786360078999998"/>
    <n v="2.9703899999997674E-2"/>
  </r>
  <r>
    <d v="2013-04-02T00:00:00"/>
    <x v="17"/>
    <n v="19.74047977"/>
    <n v="0"/>
    <n v="1.674935039"/>
    <n v="18.065534589999999"/>
    <n v="7.9676434360000004"/>
    <n v="0"/>
    <n v="18.065544730999999"/>
    <n v="19.74047977"/>
    <n v="1.0141000000629674E-5"/>
  </r>
  <r>
    <d v="2013-04-03T00:00:00"/>
    <x v="17"/>
    <n v="18.065534589999999"/>
    <n v="0"/>
    <n v="2.965147655"/>
    <n v="15.05069774"/>
    <n v="7.9577764279999998"/>
    <n v="0"/>
    <n v="15.100386935"/>
    <n v="18.065534589999999"/>
    <n v="4.9689194999999131E-2"/>
  </r>
  <r>
    <d v="2013-04-04T00:00:00"/>
    <x v="17"/>
    <n v="15.05069774"/>
    <n v="0"/>
    <n v="2.0766854129999999"/>
    <n v="12.92370693"/>
    <n v="7.9077551100000001"/>
    <n v="0"/>
    <n v="12.974012327000001"/>
    <n v="15.05069774"/>
    <n v="5.0305397000000696E-2"/>
  </r>
  <r>
    <d v="2013-04-05T00:00:00"/>
    <x v="17"/>
    <n v="12.92370693"/>
    <n v="0"/>
    <n v="4.0718625509999997"/>
    <n v="8.8117459300000007"/>
    <n v="8.1025486670000006"/>
    <n v="0"/>
    <n v="8.8518443789999992"/>
    <n v="12.92370693"/>
    <n v="4.0098448999998482E-2"/>
  </r>
  <r>
    <d v="2013-04-06T00:00:00"/>
    <x v="17"/>
    <n v="8.8117459300000007"/>
    <n v="0"/>
    <n v="3.2225937340000002"/>
    <n v="5.515038133"/>
    <n v="8.1198236920000006"/>
    <n v="0"/>
    <n v="5.5891521960000006"/>
    <n v="8.8117459300000007"/>
    <n v="7.4114063000000563E-2"/>
  </r>
  <r>
    <d v="2013-04-07T00:00:00"/>
    <x v="18"/>
    <n v="5.515038133"/>
    <n v="9.9"/>
    <n v="2.7744039410000001"/>
    <n v="12.61840421"/>
    <n v="8.2307128630000008"/>
    <n v="0"/>
    <n v="12.640634192"/>
    <n v="15.415038132999999"/>
    <n v="2.2229982000000703E-2"/>
  </r>
  <r>
    <d v="2013-04-08T00:00:00"/>
    <x v="18"/>
    <n v="12.61840421"/>
    <n v="0"/>
    <n v="1.5814903259999999"/>
    <n v="11.02740985"/>
    <n v="7.9388680100000002"/>
    <n v="0"/>
    <n v="11.036913884000001"/>
    <n v="12.61840421"/>
    <n v="9.5040340000007717E-3"/>
  </r>
  <r>
    <d v="2013-04-09T00:00:00"/>
    <x v="18"/>
    <n v="11.02740985"/>
    <n v="0"/>
    <n v="4.6456824990000003"/>
    <n v="6.212335597"/>
    <n v="8.617311398"/>
    <n v="0"/>
    <n v="6.3817273509999994"/>
    <n v="11.02740985"/>
    <n v="0.16939175399999939"/>
  </r>
  <r>
    <d v="2013-04-10T00:00:00"/>
    <x v="19"/>
    <n v="6.212335597"/>
    <n v="24.5"/>
    <n v="11.626000749999999"/>
    <n v="19.085602919999999"/>
    <n v="5.3271124160000003"/>
    <n v="0"/>
    <n v="19.086334847"/>
    <n v="30.712335596999999"/>
    <n v="7.3192700000035416E-4"/>
  </r>
  <r>
    <d v="2013-04-11T00:00:00"/>
    <x v="19"/>
    <n v="19.085602919999999"/>
    <n v="0"/>
    <n v="6.573383368"/>
    <n v="12.50841031"/>
    <n v="5.3723192989999999"/>
    <n v="0"/>
    <n v="12.512219551999999"/>
    <n v="19.085602919999999"/>
    <n v="3.8092419999991023E-3"/>
  </r>
  <r>
    <d v="2013-04-12T00:00:00"/>
    <x v="20"/>
    <n v="12.50841031"/>
    <n v="14.5"/>
    <n v="5.8223977939999996"/>
    <n v="20.343002989999999"/>
    <n v="5.6127869969999997"/>
    <n v="0"/>
    <n v="21.186012516000002"/>
    <n v="27.008410310000002"/>
    <n v="0.84300952600000301"/>
  </r>
  <r>
    <d v="2013-04-13T00:00:00"/>
    <x v="21"/>
    <n v="20.343002989999999"/>
    <n v="15.1"/>
    <n v="15.77778009"/>
    <n v="19.533402850000002"/>
    <n v="5.3744925160000001"/>
    <n v="0"/>
    <n v="19.665222899999996"/>
    <n v="35.443002989999997"/>
    <n v="0.13182004999999464"/>
  </r>
  <r>
    <d v="2013-04-14T00:00:00"/>
    <x v="21"/>
    <n v="19.533402850000002"/>
    <n v="0"/>
    <n v="4.5286136780000001"/>
    <n v="13.12544428"/>
    <n v="6.0062242299999999"/>
    <n v="0"/>
    <n v="15.004789172000002"/>
    <n v="19.533402850000002"/>
    <n v="1.8793448920000024"/>
  </r>
  <r>
    <d v="2013-04-15T00:00:00"/>
    <x v="22"/>
    <n v="13.12544428"/>
    <n v="24.6"/>
    <n v="8.1346411150000009"/>
    <n v="29.00742687"/>
    <n v="5.4407702259999997"/>
    <n v="0"/>
    <n v="29.590803165000004"/>
    <n v="37.725444280000005"/>
    <n v="0.58337629500000432"/>
  </r>
  <r>
    <d v="2013-04-16T00:00:00"/>
    <x v="22"/>
    <n v="29.00742687"/>
    <n v="0"/>
    <n v="7.5969658720000002"/>
    <n v="21.292830739999999"/>
    <n v="5.3523854359999996"/>
    <n v="0"/>
    <n v="21.410460997999998"/>
    <n v="29.00742687"/>
    <n v="0.11763025799999838"/>
  </r>
  <r>
    <d v="2013-04-17T00:00:00"/>
    <x v="22"/>
    <n v="21.292830739999999"/>
    <n v="0"/>
    <n v="3.1338333"/>
    <n v="18.11404542"/>
    <n v="5.8749394500000003"/>
    <n v="0"/>
    <n v="18.15899744"/>
    <n v="21.292830739999999"/>
    <n v="4.4952020000000203E-2"/>
  </r>
  <r>
    <d v="2013-04-18T00:00:00"/>
    <x v="23"/>
    <n v="18.11404542"/>
    <n v="24.6"/>
    <n v="5.1107639159999998"/>
    <n v="37.03527364"/>
    <n v="5.5991365200000001"/>
    <n v="0"/>
    <n v="37.603281504000009"/>
    <n v="42.714045420000005"/>
    <n v="0.56800786400000902"/>
  </r>
  <r>
    <d v="2013-04-19T00:00:00"/>
    <x v="23"/>
    <n v="37.03527364"/>
    <n v="0"/>
    <n v="7.1604996879999998"/>
    <n v="28.027784319999999"/>
    <n v="5.3976903570000001"/>
    <n v="0"/>
    <n v="29.874773951999998"/>
    <n v="37.03527364"/>
    <n v="1.8469896319999997"/>
  </r>
  <r>
    <d v="2013-04-20T00:00:00"/>
    <x v="23"/>
    <n v="28.027784319999999"/>
    <n v="0"/>
    <n v="5.624685403"/>
    <n v="22.169055719999999"/>
    <n v="5.8913638050000001"/>
    <n v="0"/>
    <n v="22.403098916999998"/>
    <n v="28.027784319999999"/>
    <n v="0.23404319699999832"/>
  </r>
  <r>
    <d v="2013-04-21T00:00:00"/>
    <x v="23"/>
    <n v="22.169055719999999"/>
    <n v="0"/>
    <n v="6.3378364759999997"/>
    <n v="15.829461480000001"/>
    <n v="6.0819257609999999"/>
    <n v="0"/>
    <n v="15.831219244"/>
    <n v="22.169055719999999"/>
    <n v="1.7577639999988293E-3"/>
  </r>
  <r>
    <d v="2013-04-22T00:00:00"/>
    <x v="24"/>
    <n v="15.829461480000001"/>
    <n v="25.5"/>
    <n v="4.0939759550000003"/>
    <n v="36.836787989999998"/>
    <n v="5.3644580800000004"/>
    <n v="0"/>
    <n v="37.235485525000001"/>
    <n v="41.329461479999999"/>
    <n v="0.39869753500000371"/>
  </r>
  <r>
    <d v="2013-04-23T00:00:00"/>
    <x v="24"/>
    <n v="36.836787989999998"/>
    <n v="0"/>
    <n v="6.9599576240000003"/>
    <n v="29.350203560000001"/>
    <n v="5.7948059990000003"/>
    <n v="0"/>
    <n v="29.876830365999997"/>
    <n v="36.836787989999998"/>
    <n v="0.5266268059999959"/>
  </r>
  <r>
    <d v="2013-04-24T00:00:00"/>
    <x v="24"/>
    <n v="29.350203560000001"/>
    <n v="0"/>
    <n v="2.2798981899999999"/>
    <n v="26.108175370000001"/>
    <n v="7.9050445539999998"/>
    <n v="0"/>
    <n v="27.07030537"/>
    <n v="29.350203560000001"/>
    <n v="0.96212999999999838"/>
  </r>
  <r>
    <d v="2013-04-25T00:00:00"/>
    <x v="24"/>
    <n v="26.108175370000001"/>
    <n v="0"/>
    <n v="2.2987977289999999"/>
    <n v="22.935123870000002"/>
    <n v="7.5597127730000002"/>
    <n v="0"/>
    <n v="23.809377641000001"/>
    <n v="26.108175370000001"/>
    <n v="0.87425377099999935"/>
  </r>
  <r>
    <d v="2013-04-26T00:00:00"/>
    <x v="24"/>
    <n v="22.935123870000002"/>
    <n v="0"/>
    <n v="0.90232809999999997"/>
    <n v="21.987176040000001"/>
    <n v="7.118684343"/>
    <n v="0"/>
    <n v="22.032795770000003"/>
    <n v="22.935123870000002"/>
    <n v="4.5619730000002079E-2"/>
  </r>
  <r>
    <d v="2013-04-27T00:00:00"/>
    <x v="25"/>
    <n v="21.987176040000001"/>
    <n v="10.3"/>
    <n v="2.6565877379999998"/>
    <n v="29.613084600000001"/>
    <n v="7.553564572"/>
    <n v="0"/>
    <n v="29.630588302000007"/>
    <n v="32.287176040000006"/>
    <n v="1.7503702000006172E-2"/>
  </r>
  <r>
    <d v="2013-04-28T00:00:00"/>
    <x v="25"/>
    <n v="29.613084600000001"/>
    <n v="0"/>
    <n v="2.711238367"/>
    <n v="26.88177074"/>
    <n v="7.5145655949999997"/>
    <n v="0"/>
    <n v="26.901846233000001"/>
    <n v="29.613084600000001"/>
    <n v="2.0075493000000222E-2"/>
  </r>
  <r>
    <d v="2013-04-29T00:00:00"/>
    <x v="25"/>
    <n v="26.88177074"/>
    <n v="0"/>
    <n v="1.6724817030000001"/>
    <n v="25.023125700000001"/>
    <n v="7.1853856580000004"/>
    <n v="0"/>
    <n v="25.209289037000001"/>
    <n v="26.88177074"/>
    <n v="0.18616333699999998"/>
  </r>
  <r>
    <d v="2013-04-30T00:00:00"/>
    <x v="25"/>
    <n v="25.023125700000001"/>
    <n v="0"/>
    <n v="2.7137841699999998"/>
    <n v="21.928150519999999"/>
    <n v="7.5353638209999998"/>
    <n v="0"/>
    <n v="22.309341530000001"/>
    <n v="25.023125700000001"/>
    <n v="0.381191010000002"/>
  </r>
  <r>
    <d v="2013-05-01T00:00:00"/>
    <x v="25"/>
    <n v="21.928150519999999"/>
    <n v="0"/>
    <n v="1.4215653500000001"/>
    <n v="20.506575250000001"/>
    <n v="7.1836084769999999"/>
    <n v="0"/>
    <n v="20.506585169999997"/>
    <n v="21.928150519999999"/>
    <n v="9.9199999965549068E-6"/>
  </r>
  <r>
    <d v="2013-05-02T00:00:00"/>
    <x v="25"/>
    <n v="20.506575250000001"/>
    <n v="0"/>
    <n v="0.89254841799999995"/>
    <n v="19.354042490000001"/>
    <n v="8.2254218479999999"/>
    <n v="0"/>
    <n v="19.614026832"/>
    <n v="20.506575250000001"/>
    <n v="0.2599843419999992"/>
  </r>
  <r>
    <d v="2013-05-03T00:00:00"/>
    <x v="25"/>
    <n v="19.354042490000001"/>
    <n v="0"/>
    <n v="1.7196537169999999"/>
    <n v="17.465424840000001"/>
    <n v="8.1361774909999998"/>
    <n v="0"/>
    <n v="17.634388773000001"/>
    <n v="19.354042490000001"/>
    <n v="0.16896393300000057"/>
  </r>
  <r>
    <d v="2013-05-04T00:00:00"/>
    <x v="25"/>
    <n v="17.465424840000001"/>
    <n v="0"/>
    <n v="2.4844401839999999"/>
    <n v="14.93486744"/>
    <n v="7.9759870399999997"/>
    <n v="0"/>
    <n v="14.980984656"/>
    <n v="17.465424840000001"/>
    <n v="4.6117216000000738E-2"/>
  </r>
  <r>
    <d v="2013-05-05T00:00:00"/>
    <x v="26"/>
    <n v="14.93486744"/>
    <n v="14.8"/>
    <n v="1.5732285989999999"/>
    <n v="27.062277470000002"/>
    <n v="7.6419472319999997"/>
    <n v="0"/>
    <n v="28.161638841000002"/>
    <n v="29.734867440000002"/>
    <n v="1.0993613710000005"/>
  </r>
  <r>
    <d v="2013-05-06T00:00:00"/>
    <x v="26"/>
    <n v="27.062277470000002"/>
    <n v="0"/>
    <n v="0.453403736"/>
    <n v="26.508208719999999"/>
    <n v="7.155303687"/>
    <n v="0"/>
    <n v="26.608873734000003"/>
    <n v="27.062277470000002"/>
    <n v="0.10066501400000405"/>
  </r>
  <r>
    <d v="2013-05-07T00:00:00"/>
    <x v="26"/>
    <n v="26.508208719999999"/>
    <n v="0"/>
    <n v="1.30477749"/>
    <n v="25.199323740000001"/>
    <n v="7.7892127240000004"/>
    <n v="0"/>
    <n v="25.20343123"/>
    <n v="26.508208719999999"/>
    <n v="4.1074899999991032E-3"/>
  </r>
  <r>
    <d v="2013-05-08T00:00:00"/>
    <x v="26"/>
    <n v="25.199323740000001"/>
    <n v="0"/>
    <n v="2.159987568"/>
    <n v="22.98587526"/>
    <n v="8.8071358140000005"/>
    <n v="0"/>
    <n v="23.039336171999999"/>
    <n v="25.199323740000001"/>
    <n v="5.3460911999998473E-2"/>
  </r>
  <r>
    <d v="2013-05-09T00:00:00"/>
    <x v="26"/>
    <n v="22.98587526"/>
    <n v="0"/>
    <n v="1.884405699"/>
    <n v="21.04796992"/>
    <n v="9.0395497710000008"/>
    <n v="0"/>
    <n v="21.101469561000002"/>
    <n v="22.98587526"/>
    <n v="5.349964100000193E-2"/>
  </r>
  <r>
    <d v="2013-05-10T00:00:00"/>
    <x v="26"/>
    <n v="21.04796992"/>
    <n v="0"/>
    <n v="4.912296521"/>
    <n v="15.651073820000001"/>
    <n v="7.8041105919999998"/>
    <n v="0"/>
    <n v="16.135673398999998"/>
    <n v="21.04796992"/>
    <n v="0.4845995789999975"/>
  </r>
  <r>
    <d v="2013-05-11T00:00:00"/>
    <x v="26"/>
    <n v="15.651073820000001"/>
    <n v="0"/>
    <n v="1.1936813070000001"/>
    <n v="14.36194873"/>
    <n v="7.9220843529999998"/>
    <n v="0"/>
    <n v="14.457392513"/>
    <n v="15.651073820000001"/>
    <n v="9.5443783000000337E-2"/>
  </r>
  <r>
    <d v="2013-05-12T00:00:00"/>
    <x v="26"/>
    <n v="14.36194873"/>
    <n v="0"/>
    <n v="2.229986791"/>
    <n v="12.05033255"/>
    <n v="9.0307236619999998"/>
    <n v="0"/>
    <n v="12.131961939"/>
    <n v="14.36194873"/>
    <n v="8.1629388999999719E-2"/>
  </r>
  <r>
    <d v="2013-05-13T00:00:00"/>
    <x v="27"/>
    <n v="12.05033255"/>
    <n v="10"/>
    <n v="1.7308397680000001"/>
    <n v="20.055696900000001"/>
    <n v="8.3393856349999993"/>
    <n v="0"/>
    <n v="20.319492782000001"/>
    <n v="22.05033255"/>
    <n v="0.26379588200000015"/>
  </r>
  <r>
    <d v="2013-05-14T00:00:00"/>
    <x v="27"/>
    <n v="20.055696900000001"/>
    <n v="0"/>
    <n v="2.5189430110000002"/>
    <n v="17.536588070000001"/>
    <n v="8.0002314769999998"/>
    <n v="0"/>
    <n v="17.536753889"/>
    <n v="20.055696900000001"/>
    <n v="1.6581899999934535E-4"/>
  </r>
  <r>
    <d v="2013-05-15T00:00:00"/>
    <x v="27"/>
    <n v="17.536588070000001"/>
    <n v="0"/>
    <n v="2.826117853"/>
    <n v="14.245734819999999"/>
    <n v="7.9716642499999999"/>
    <n v="0"/>
    <n v="14.710470217000001"/>
    <n v="17.536588070000001"/>
    <n v="0.46473539700000188"/>
  </r>
  <r>
    <d v="2013-05-16T00:00:00"/>
    <x v="28"/>
    <n v="14.245734819999999"/>
    <n v="9.5"/>
    <n v="4.244818242"/>
    <n v="18.150132079999999"/>
    <n v="7.5165414769999996"/>
    <n v="0"/>
    <n v="19.500916577999998"/>
    <n v="23.745734819999999"/>
    <n v="1.3507844979999994"/>
  </r>
  <r>
    <d v="2013-05-17T00:00:00"/>
    <x v="28"/>
    <n v="18.150132079999999"/>
    <n v="0"/>
    <n v="5.7614333950000001"/>
    <n v="12.25024518"/>
    <n v="7.5728849489999996"/>
    <n v="0"/>
    <n v="12.388698684999998"/>
    <n v="18.150132079999999"/>
    <n v="0.13845350499999753"/>
  </r>
  <r>
    <d v="2013-05-18T00:00:00"/>
    <x v="28"/>
    <n v="12.25024518"/>
    <n v="0"/>
    <n v="4.2219712920000001"/>
    <n v="8.0280426390000006"/>
    <n v="7.6001875160000001"/>
    <n v="0"/>
    <n v="8.0282738880000011"/>
    <n v="12.25024518"/>
    <n v="2.3124900000048854E-4"/>
  </r>
  <r>
    <d v="2013-05-19T00:00:00"/>
    <x v="28"/>
    <n v="8.0280426390000006"/>
    <n v="0"/>
    <n v="3.6651945050000001"/>
    <n v="4.3020376349999996"/>
    <n v="6.7280023719999997"/>
    <n v="0"/>
    <n v="4.362848134"/>
    <n v="8.0280426390000006"/>
    <n v="6.0810499000000462E-2"/>
  </r>
  <r>
    <d v="2013-05-20T00:00:00"/>
    <x v="29"/>
    <n v="4.3020376349999996"/>
    <n v="25.1"/>
    <n v="2.1616115730000001"/>
    <n v="27.222005129999999"/>
    <n v="7.1469524629999999"/>
    <n v="0"/>
    <n v="27.240426061999997"/>
    <n v="29.402037634999999"/>
    <n v="1.8420931999997947E-2"/>
  </r>
  <r>
    <d v="2013-05-21T00:00:00"/>
    <x v="29"/>
    <n v="27.222005129999999"/>
    <n v="0"/>
    <n v="2.6963343150000001"/>
    <n v="24.516598040000002"/>
    <n v="7.6913288929999997"/>
    <n v="0"/>
    <n v="24.525670814999998"/>
    <n v="27.222005129999999"/>
    <n v="9.0727749999963692E-3"/>
  </r>
  <r>
    <d v="2013-05-22T00:00:00"/>
    <x v="30"/>
    <n v="24.516598040000002"/>
    <n v="14.9"/>
    <n v="5.55171832"/>
    <n v="33.570953979999999"/>
    <n v="5.9317076039999996"/>
    <n v="0"/>
    <n v="33.864879720000005"/>
    <n v="39.416598040000004"/>
    <n v="0.29392574000000593"/>
  </r>
  <r>
    <d v="2013-05-23T00:00:00"/>
    <x v="31"/>
    <n v="33.570953979999999"/>
    <n v="9.1999999999999993"/>
    <n v="4.4976857929999996"/>
    <n v="38.229573629999997"/>
    <n v="5.9193979529999998"/>
    <n v="0"/>
    <n v="38.273268186999999"/>
    <n v="42.770953980000002"/>
    <n v="4.3694557000002021E-2"/>
  </r>
  <r>
    <d v="2013-05-24T00:00:00"/>
    <x v="31"/>
    <n v="38.229573629999997"/>
    <n v="0"/>
    <n v="4.8571518139999998"/>
    <n v="33.350958110000001"/>
    <n v="6.0519307419999997"/>
    <n v="0"/>
    <n v="33.372421815999999"/>
    <n v="38.229573629999997"/>
    <n v="2.1463705999998695E-2"/>
  </r>
  <r>
    <d v="2013-05-25T00:00:00"/>
    <x v="31"/>
    <n v="33.350958110000001"/>
    <n v="0"/>
    <n v="2.158219731"/>
    <n v="30.992854980000001"/>
    <n v="6.5379543739999999"/>
    <n v="0"/>
    <n v="31.192738379000001"/>
    <n v="33.350958110000001"/>
    <n v="0.19988339900000085"/>
  </r>
  <r>
    <d v="2013-05-26T00:00:00"/>
    <x v="31"/>
    <n v="30.992854980000001"/>
    <n v="0"/>
    <n v="6.2572857019999999"/>
    <n v="24.73140858"/>
    <n v="6.3816822279999998"/>
    <n v="0"/>
    <n v="24.735569278"/>
    <n v="30.992854980000001"/>
    <n v="4.1606979999997407E-3"/>
  </r>
  <r>
    <d v="2013-05-27T00:00:00"/>
    <x v="31"/>
    <n v="24.73140858"/>
    <n v="0"/>
    <n v="2.8157250970000001"/>
    <n v="21.91048571"/>
    <n v="6.1394594619999996"/>
    <n v="0"/>
    <n v="21.915683482999999"/>
    <n v="24.73140858"/>
    <n v="5.1977729999990174E-3"/>
  </r>
  <r>
    <d v="2013-05-28T00:00:00"/>
    <x v="32"/>
    <n v="21.91048571"/>
    <n v="10.9"/>
    <n v="4.5738255700000003"/>
    <n v="27.644945669999998"/>
    <n v="6.2880977099999997"/>
    <n v="0"/>
    <n v="28.236660140000001"/>
    <n v="32.810485710000002"/>
    <n v="0.59171447000000299"/>
  </r>
  <r>
    <d v="2013-05-29T00:00:00"/>
    <x v="32"/>
    <n v="27.644945669999998"/>
    <n v="0"/>
    <n v="3.6048389080000001"/>
    <n v="23.68988062"/>
    <n v="6.2304995700000001"/>
    <n v="0"/>
    <n v="24.040106761999997"/>
    <n v="27.644945669999998"/>
    <n v="0.3502261419999968"/>
  </r>
  <r>
    <d v="2013-05-30T00:00:00"/>
    <x v="33"/>
    <n v="23.68988062"/>
    <n v="10.6"/>
    <n v="8.7706209360000003"/>
    <n v="25.401882789999998"/>
    <n v="5.9591775230000001"/>
    <n v="0"/>
    <n v="25.519259683999998"/>
    <n v="34.289880619999998"/>
    <n v="0.11737689399999951"/>
  </r>
  <r>
    <d v="2013-05-31T00:00:00"/>
    <x v="33"/>
    <n v="25.401882789999998"/>
    <n v="0"/>
    <n v="2.352730969"/>
    <n v="22.924493500000001"/>
    <n v="5.9555578779999996"/>
    <n v="0"/>
    <n v="23.049151820999999"/>
    <n v="25.401882789999998"/>
    <n v="0.1246583209999983"/>
  </r>
  <r>
    <d v="2013-06-01T00:00:00"/>
    <x v="34"/>
    <n v="22.924493500000001"/>
    <n v="9.1999999999999993"/>
    <n v="3.7601361519999998"/>
    <n v="27.64339683"/>
    <n v="6.5331055129999998"/>
    <n v="0"/>
    <n v="28.364357347999999"/>
    <n v="32.1244935"/>
    <n v="0.72096051799999827"/>
  </r>
  <r>
    <d v="2013-06-02T00:00:00"/>
    <x v="34"/>
    <n v="27.64339683"/>
    <n v="0"/>
    <n v="4.3888928759999999"/>
    <n v="23.199633710000001"/>
    <n v="6.5284511429999998"/>
    <n v="0"/>
    <n v="23.254503954"/>
    <n v="27.64339683"/>
    <n v="5.4870243999999957E-2"/>
  </r>
  <r>
    <d v="2013-06-03T00:00:00"/>
    <x v="35"/>
    <n v="23.199633710000001"/>
    <n v="9.6999999999999993"/>
    <n v="4.4778715179999997"/>
    <n v="28.333079000000001"/>
    <n v="6.7878194150000004"/>
    <n v="0"/>
    <n v="28.421762192000003"/>
    <n v="32.899633710000003"/>
    <n v="8.8683192000001299E-2"/>
  </r>
  <r>
    <d v="2013-06-04T00:00:00"/>
    <x v="35"/>
    <n v="28.333079000000001"/>
    <n v="0"/>
    <n v="4.5072042510000001"/>
    <n v="23.459185389999998"/>
    <n v="6.8344475310000004"/>
    <n v="0"/>
    <n v="23.825874749"/>
    <n v="28.333079000000001"/>
    <n v="0.36668935900000221"/>
  </r>
  <r>
    <d v="2013-06-05T00:00:00"/>
    <x v="35"/>
    <n v="23.459185389999998"/>
    <n v="0"/>
    <n v="5.340819014"/>
    <n v="17.814418620000001"/>
    <n v="6.6834936709999999"/>
    <n v="0"/>
    <n v="18.118366375999997"/>
    <n v="23.459185389999998"/>
    <n v="0.30394775599999591"/>
  </r>
  <r>
    <d v="2013-06-06T00:00:00"/>
    <x v="35"/>
    <n v="17.814418620000001"/>
    <n v="0"/>
    <n v="1.7050127079999999"/>
    <n v="15.998641040000001"/>
    <n v="8.7183859629999994"/>
    <n v="0"/>
    <n v="16.109405912"/>
    <n v="17.814418620000001"/>
    <n v="0.11076487199999896"/>
  </r>
  <r>
    <d v="2013-06-07T00:00:00"/>
    <x v="36"/>
    <n v="15.998641040000001"/>
    <n v="9.3000000000000007"/>
    <n v="3.4941738070000001"/>
    <n v="21.765459140000001"/>
    <n v="8.4635432890000004"/>
    <n v="0"/>
    <n v="21.804467233"/>
    <n v="25.29864104"/>
    <n v="3.9008092999999633E-2"/>
  </r>
  <r>
    <d v="2013-06-08T00:00:00"/>
    <x v="36"/>
    <n v="21.765459140000001"/>
    <n v="0"/>
    <n v="4.166352915"/>
    <n v="17.589010630000001"/>
    <n v="8.7433943349999996"/>
    <n v="0"/>
    <n v="17.599106225"/>
    <n v="21.765459140000001"/>
    <n v="1.0095594999999236E-2"/>
  </r>
  <r>
    <d v="2013-06-09T00:00:00"/>
    <x v="37"/>
    <n v="17.589010630000001"/>
    <n v="9.1"/>
    <n v="3.9337569179999998"/>
    <n v="22.658560909999999"/>
    <n v="8.927980604"/>
    <n v="0"/>
    <n v="22.755253711999998"/>
    <n v="26.689010629999999"/>
    <n v="9.6692801999999745E-2"/>
  </r>
  <r>
    <d v="2013-06-10T00:00:00"/>
    <x v="37"/>
    <n v="22.658560909999999"/>
    <n v="0"/>
    <n v="4.8981301190000002"/>
    <n v="17.28683766"/>
    <n v="8.1537710220000008"/>
    <n v="0"/>
    <n v="17.760430790999997"/>
    <n v="22.658560909999999"/>
    <n v="0.47359313099999767"/>
  </r>
  <r>
    <d v="2013-06-11T00:00:00"/>
    <x v="37"/>
    <n v="17.28683766"/>
    <n v="0"/>
    <n v="3.2126335419999998"/>
    <n v="13.979382859999999"/>
    <n v="8.3249715460000004"/>
    <n v="0"/>
    <n v="14.074204118000001"/>
    <n v="17.28683766"/>
    <n v="9.4821258000001407E-2"/>
  </r>
  <r>
    <d v="2013-06-12T00:00:00"/>
    <x v="38"/>
    <n v="13.979382859999999"/>
    <n v="14.5"/>
    <n v="2.804246665"/>
    <n v="25.674569940000001"/>
    <n v="8.4178706870000006"/>
    <n v="0"/>
    <n v="25.675136195"/>
    <n v="28.479382860000001"/>
    <n v="5.6625499999896078E-4"/>
  </r>
  <r>
    <d v="2013-06-13T00:00:00"/>
    <x v="38"/>
    <n v="25.674569940000001"/>
    <n v="0"/>
    <n v="3.3815374560000002"/>
    <n v="22.29190371"/>
    <n v="6.8976566249999998"/>
    <n v="0"/>
    <n v="22.293032484000001"/>
    <n v="25.674569940000001"/>
    <n v="1.1287740000014423E-3"/>
  </r>
  <r>
    <d v="2013-06-14T00:00:00"/>
    <x v="38"/>
    <n v="22.29190371"/>
    <n v="0"/>
    <n v="2.2108124299999998"/>
    <n v="19.401257319999999"/>
    <n v="7.224962272"/>
    <n v="0"/>
    <n v="20.081091279999999"/>
    <n v="22.29190371"/>
    <n v="0.67983395999999985"/>
  </r>
  <r>
    <d v="2013-06-15T00:00:00"/>
    <x v="38"/>
    <n v="19.401257319999999"/>
    <n v="0"/>
    <n v="4.1873770090000004"/>
    <n v="15.10892572"/>
    <n v="7.0396334249999999"/>
    <n v="0"/>
    <n v="15.213880310999999"/>
    <n v="19.401257319999999"/>
    <n v="0.10495459099999849"/>
  </r>
  <r>
    <d v="2013-06-16T00:00:00"/>
    <x v="38"/>
    <n v="15.10892572"/>
    <n v="0"/>
    <n v="3.0028961060000001"/>
    <n v="12.105902589999999"/>
    <n v="8.4933267210000007"/>
    <n v="0"/>
    <n v="12.106029614000001"/>
    <n v="15.10892572"/>
    <n v="1.2702400000108582E-4"/>
  </r>
  <r>
    <d v="2013-06-17T00:00:00"/>
    <x v="39"/>
    <n v="12.105902589999999"/>
    <n v="10.9"/>
    <n v="1.2418166020000001"/>
    <n v="21.662096129999998"/>
    <n v="9.9842726099999997"/>
    <n v="0"/>
    <n v="21.764085987999998"/>
    <n v="23.005902589999998"/>
    <n v="0.1019898579999996"/>
  </r>
  <r>
    <d v="2013-06-18T00:00:00"/>
    <x v="39"/>
    <n v="21.662096129999998"/>
    <n v="0"/>
    <n v="1.774452865"/>
    <n v="19.856689670000002"/>
    <n v="9.9173720999999997"/>
    <n v="0"/>
    <n v="19.887643264999998"/>
    <n v="21.662096129999998"/>
    <n v="3.095359499999617E-2"/>
  </r>
  <r>
    <d v="2013-06-19T00:00:00"/>
    <x v="40"/>
    <n v="19.856689670000002"/>
    <n v="10.199999999999999"/>
    <n v="1.8814197930000001"/>
    <n v="28.044853140000001"/>
    <n v="9.9113841750000002"/>
    <n v="0"/>
    <n v="28.175269877000002"/>
    <n v="30.056689670000001"/>
    <n v="0.13041673700000089"/>
  </r>
  <r>
    <d v="2013-06-20T00:00:00"/>
    <x v="40"/>
    <n v="28.044853140000001"/>
    <n v="0"/>
    <n v="3.182614466"/>
    <n v="24.860033009999999"/>
    <n v="9.9195805440000004"/>
    <n v="0"/>
    <n v="24.862238674"/>
    <n v="28.044853140000001"/>
    <n v="2.2056640000016614E-3"/>
  </r>
  <r>
    <d v="2013-06-21T00:00:00"/>
    <x v="40"/>
    <n v="24.860033009999999"/>
    <n v="0"/>
    <n v="1.1143467380000001"/>
    <n v="23.74567978"/>
    <n v="9.9791973980000002"/>
    <n v="0"/>
    <n v="23.745686272"/>
    <n v="24.860033009999999"/>
    <n v="6.492000000690723E-6"/>
  </r>
  <r>
    <d v="2013-06-22T00:00:00"/>
    <x v="40"/>
    <n v="23.74567978"/>
    <n v="0"/>
    <n v="2.545215776"/>
    <n v="21.142607479999999"/>
    <n v="9.9840181860000001"/>
    <n v="0"/>
    <n v="21.200464004000001"/>
    <n v="23.74567978"/>
    <n v="5.7856524000001741E-2"/>
  </r>
  <r>
    <d v="2013-06-23T00:00:00"/>
    <x v="41"/>
    <n v="21.142607479999999"/>
    <n v="10.6"/>
    <n v="2.8943967960000001"/>
    <n v="28.81552615"/>
    <n v="9.9768431540000009"/>
    <n v="0"/>
    <n v="28.848210683999998"/>
    <n v="31.742607479999997"/>
    <n v="3.2684533999997711E-2"/>
  </r>
  <r>
    <d v="2013-06-24T00:00:00"/>
    <x v="41"/>
    <n v="28.81552615"/>
    <n v="0"/>
    <n v="2.093862643"/>
    <n v="26.673223019999998"/>
    <n v="9.9616317540000008"/>
    <n v="0"/>
    <n v="26.721663506999999"/>
    <n v="28.81552615"/>
    <n v="4.8440487000000587E-2"/>
  </r>
  <r>
    <d v="2013-06-25T00:00:00"/>
    <x v="41"/>
    <n v="26.673223019999998"/>
    <n v="0"/>
    <n v="3.500216081"/>
    <n v="23.172915339999999"/>
    <n v="9.9675791159999996"/>
    <n v="0"/>
    <n v="23.173006938999997"/>
    <n v="26.673223019999998"/>
    <n v="9.1598999997444253E-5"/>
  </r>
  <r>
    <d v="2013-06-26T00:00:00"/>
    <x v="41"/>
    <n v="23.172915339999999"/>
    <n v="0"/>
    <n v="2.5237463089999999"/>
    <n v="20.193042210000002"/>
    <n v="9.9398867499999994"/>
    <n v="0"/>
    <n v="20.649169031"/>
    <n v="23.172915339999999"/>
    <n v="0.45612682099999802"/>
  </r>
  <r>
    <d v="2013-06-27T00:00:00"/>
    <x v="42"/>
    <n v="20.193042210000002"/>
    <n v="11"/>
    <n v="1.9787235160000001"/>
    <n v="28.96046887"/>
    <n v="9.9842280389999996"/>
    <n v="0"/>
    <n v="29.214318694000003"/>
    <n v="31.193042210000002"/>
    <n v="0.25384982400000311"/>
  </r>
  <r>
    <d v="2013-06-28T00:00:00"/>
    <x v="42"/>
    <n v="28.96046887"/>
    <n v="0"/>
    <n v="3.8643678100000001"/>
    <n v="25.09428342"/>
    <n v="9.6288123789999993"/>
    <n v="0"/>
    <n v="25.096101059999999"/>
    <n v="28.96046887"/>
    <n v="1.8176399999987325E-3"/>
  </r>
  <r>
    <d v="2013-06-29T00:00:00"/>
    <x v="43"/>
    <n v="25.09428342"/>
    <n v="11"/>
    <n v="2.765111176"/>
    <n v="33.307329809999999"/>
    <n v="10.170192549999999"/>
    <n v="0"/>
    <n v="33.329172243999999"/>
    <n v="36.094283419999996"/>
    <n v="2.1842433999999855E-2"/>
  </r>
  <r>
    <d v="2013-06-30T00:00:00"/>
    <x v="43"/>
    <n v="33.307329809999999"/>
    <n v="0"/>
    <n v="1.861264239"/>
    <n v="31.43871961"/>
    <n v="10.389972439999999"/>
    <n v="0"/>
    <n v="31.446065570999998"/>
    <n v="33.307329809999999"/>
    <n v="7.3459609999986242E-3"/>
  </r>
  <r>
    <d v="2013-07-01T00:00:00"/>
    <x v="43"/>
    <n v="31.43871961"/>
    <n v="0"/>
    <n v="2.2845686920000001"/>
    <n v="29.153916219999999"/>
    <n v="10.565795530000001"/>
    <n v="0"/>
    <n v="29.154150917999999"/>
    <n v="31.43871961"/>
    <n v="2.3469799999986662E-4"/>
  </r>
  <r>
    <d v="2013-07-02T00:00:00"/>
    <x v="43"/>
    <n v="29.153916219999999"/>
    <n v="0"/>
    <n v="2.3255733319999998"/>
    <n v="26.809967400000001"/>
    <n v="10.480372490000001"/>
    <n v="0"/>
    <n v="26.828342887999998"/>
    <n v="29.153916219999999"/>
    <n v="1.8375487999996665E-2"/>
  </r>
  <r>
    <d v="2013-07-03T00:00:00"/>
    <x v="44"/>
    <n v="26.809967400000001"/>
    <n v="10.199999999999999"/>
    <n v="2.2045947030000002"/>
    <n v="34.285803909999998"/>
    <n v="10.822964649999999"/>
    <n v="0"/>
    <n v="34.805372697000003"/>
    <n v="37.009967400000001"/>
    <n v="0.51956878700000431"/>
  </r>
  <r>
    <d v="2013-07-04T00:00:00"/>
    <x v="44"/>
    <n v="34.285803909999998"/>
    <n v="0"/>
    <n v="2.1622144599999999"/>
    <n v="32.004784579999999"/>
    <n v="10.71230207"/>
    <n v="0"/>
    <n v="32.123589449999997"/>
    <n v="34.285803909999998"/>
    <n v="0.11880486999999817"/>
  </r>
  <r>
    <d v="2013-07-05T00:00:00"/>
    <x v="44"/>
    <n v="32.004784579999999"/>
    <n v="0"/>
    <n v="4.7182358930000001"/>
    <n v="27.27500448"/>
    <n v="10.214041119999999"/>
    <n v="0"/>
    <n v="27.286548687"/>
    <n v="32.004784579999999"/>
    <n v="1.1544207000000029E-2"/>
  </r>
  <r>
    <d v="2013-07-06T00:00:00"/>
    <x v="45"/>
    <n v="27.27500448"/>
    <n v="10.8"/>
    <n v="2.761858835"/>
    <n v="35.311631589999998"/>
    <n v="10.193516320000001"/>
    <n v="0"/>
    <n v="35.313145645000006"/>
    <n v="38.075004480000004"/>
    <n v="1.5140550000083408E-3"/>
  </r>
  <r>
    <d v="2013-07-07T00:00:00"/>
    <x v="45"/>
    <n v="35.311631589999998"/>
    <n v="0"/>
    <n v="2.872441174"/>
    <n v="32.415530369999999"/>
    <n v="10.841297150000001"/>
    <n v="0"/>
    <n v="32.439190415999995"/>
    <n v="35.311631589999998"/>
    <n v="2.3660045999996271E-2"/>
  </r>
  <r>
    <d v="2013-07-08T00:00:00"/>
    <x v="45"/>
    <n v="32.415530369999999"/>
    <n v="0"/>
    <n v="2.2841739479999998"/>
    <n v="29.50847345"/>
    <n v="10.738546639999999"/>
    <n v="0"/>
    <n v="30.131356422"/>
    <n v="32.415530369999999"/>
    <n v="0.62288297199999931"/>
  </r>
  <r>
    <d v="2013-07-09T00:00:00"/>
    <x v="45"/>
    <n v="29.50847345"/>
    <n v="0"/>
    <n v="1.974021963"/>
    <n v="27.33745931"/>
    <n v="9.9541100230000001"/>
    <n v="0"/>
    <n v="27.534451487000002"/>
    <n v="29.50847345"/>
    <n v="0.19699217700000204"/>
  </r>
  <r>
    <d v="2013-07-10T00:00:00"/>
    <x v="45"/>
    <n v="27.33745931"/>
    <n v="0"/>
    <n v="3.055370972"/>
    <n v="24.185401469999999"/>
    <n v="9.9347031309999991"/>
    <n v="0"/>
    <n v="24.282088338000001"/>
    <n v="27.33745931"/>
    <n v="9.668686800000259E-2"/>
  </r>
  <r>
    <d v="2013-07-11T00:00:00"/>
    <x v="45"/>
    <n v="24.185401469999999"/>
    <n v="0"/>
    <n v="1.717705104"/>
    <n v="22.42733024"/>
    <n v="10.5887434"/>
    <n v="0"/>
    <n v="22.467696365999998"/>
    <n v="24.185401469999999"/>
    <n v="4.0366125999998559E-2"/>
  </r>
  <r>
    <d v="2013-07-12T00:00:00"/>
    <x v="45"/>
    <n v="22.42733024"/>
    <n v="0"/>
    <n v="2.2255909539999998"/>
    <n v="20.153764729999999"/>
    <n v="9.9606461339999992"/>
    <n v="0"/>
    <n v="20.201739285999999"/>
    <n v="22.42733024"/>
    <n v="4.7974555999999779E-2"/>
  </r>
  <r>
    <d v="2013-07-13T00:00:00"/>
    <x v="45"/>
    <n v="20.153764729999999"/>
    <n v="0"/>
    <n v="2.8623461200000002"/>
    <n v="16.29586793"/>
    <n v="10.212694819999999"/>
    <n v="0"/>
    <n v="17.291418609999997"/>
    <n v="20.153764729999999"/>
    <n v="0.99555067999999736"/>
  </r>
  <r>
    <d v="2013-07-14T00:00:00"/>
    <x v="46"/>
    <n v="16.29586793"/>
    <n v="10.5"/>
    <n v="3.4452373989999998"/>
    <n v="23.340895419999999"/>
    <n v="10.24649745"/>
    <n v="0"/>
    <n v="23.350630531"/>
    <n v="26.79586793"/>
    <n v="9.7351110000012397E-3"/>
  </r>
  <r>
    <d v="2013-07-15T00:00:00"/>
    <x v="46"/>
    <n v="23.340895419999999"/>
    <n v="0"/>
    <n v="1.1048281179999999"/>
    <n v="20.800370520000001"/>
    <n v="10.36578355"/>
    <n v="0"/>
    <n v="22.236067301999999"/>
    <n v="23.340895419999999"/>
    <n v="1.4356967819999973"/>
  </r>
  <r>
    <d v="2013-07-16T00:00:00"/>
    <x v="46"/>
    <n v="20.800370520000001"/>
    <n v="0"/>
    <n v="2.2331597159999999"/>
    <n v="18.4637402"/>
    <n v="9.1799614629999997"/>
    <n v="0"/>
    <n v="18.567210804000002"/>
    <n v="20.800370520000001"/>
    <n v="0.10347060400000174"/>
  </r>
  <r>
    <d v="2013-07-17T00:00:00"/>
    <x v="46"/>
    <n v="18.4637402"/>
    <n v="0"/>
    <n v="5.6552879389999999"/>
    <n v="12.684239099999999"/>
    <n v="8.4791293900000007"/>
    <n v="0"/>
    <n v="12.808452260999999"/>
    <n v="18.4637402"/>
    <n v="0.12421316100000013"/>
  </r>
  <r>
    <d v="2013-07-18T00:00:00"/>
    <x v="46"/>
    <n v="12.684239099999999"/>
    <n v="0"/>
    <n v="3.1886536529999998"/>
    <n v="9.4953170890000003"/>
    <n v="9.4327497600000001"/>
    <n v="0"/>
    <n v="9.4955854469999998"/>
    <n v="12.684239099999999"/>
    <n v="2.6835799999957999E-4"/>
  </r>
  <r>
    <d v="2013-07-19T00:00:00"/>
    <x v="47"/>
    <n v="9.4953170890000003"/>
    <n v="15.2"/>
    <n v="2.4611569219999998"/>
    <n v="22.00741382"/>
    <n v="8.3510061289999999"/>
    <n v="0"/>
    <n v="22.234160166999999"/>
    <n v="24.695317089"/>
    <n v="0.22674634699999885"/>
  </r>
  <r>
    <d v="2013-07-20T00:00:00"/>
    <x v="47"/>
    <n v="22.00741382"/>
    <n v="0"/>
    <n v="4.1326276689999997"/>
    <n v="17.874603239999999"/>
    <n v="8.9504515169999994"/>
    <n v="0"/>
    <n v="17.874786151000002"/>
    <n v="22.00741382"/>
    <n v="1.8291100000311644E-4"/>
  </r>
  <r>
    <d v="2013-07-21T00:00:00"/>
    <x v="48"/>
    <n v="17.874603239999999"/>
    <n v="16.3"/>
    <n v="4.4277568110000001"/>
    <n v="29.73661954"/>
    <n v="8.2944540609999997"/>
    <n v="0"/>
    <n v="29.746846428999994"/>
    <n v="34.174603239999996"/>
    <n v="1.0226888999994799E-2"/>
  </r>
  <r>
    <d v="2013-07-22T00:00:00"/>
    <x v="48"/>
    <n v="29.73661954"/>
    <n v="0"/>
    <n v="3.807673307"/>
    <n v="25.656908300000001"/>
    <n v="8.5876925219999993"/>
    <n v="0"/>
    <n v="25.928946232999998"/>
    <n v="29.73661954"/>
    <n v="0.27203793299999646"/>
  </r>
  <r>
    <d v="2013-07-23T00:00:00"/>
    <x v="48"/>
    <n v="25.656908300000001"/>
    <n v="0"/>
    <n v="1.2003619830000001"/>
    <n v="24.437161679999999"/>
    <n v="8.6440882139999999"/>
    <n v="0"/>
    <n v="24.456546317000001"/>
    <n v="25.656908300000001"/>
    <n v="1.9384637000001703E-2"/>
  </r>
  <r>
    <d v="2013-07-24T00:00:00"/>
    <x v="48"/>
    <n v="24.437161679999999"/>
    <n v="0"/>
    <n v="3.5505303160000001"/>
    <n v="20.113908139999999"/>
    <n v="9.6316645609999991"/>
    <n v="0"/>
    <n v="20.886631363999999"/>
    <n v="24.437161679999999"/>
    <n v="0.77272322399999993"/>
  </r>
  <r>
    <d v="2013-07-25T00:00:00"/>
    <x v="48"/>
    <n v="20.113908139999999"/>
    <n v="0"/>
    <n v="3.8628806990000002"/>
    <n v="16.23394545"/>
    <n v="7.9307532869999999"/>
    <n v="0"/>
    <n v="16.251027440999998"/>
    <n v="20.113908139999999"/>
    <n v="1.7081990999997743E-2"/>
  </r>
  <r>
    <d v="2013-07-26T00:00:00"/>
    <x v="48"/>
    <n v="16.23394545"/>
    <n v="0"/>
    <n v="1.3500979369999999"/>
    <n v="14.806065419999999"/>
    <n v="7.9502741500000003"/>
    <n v="0"/>
    <n v="14.883847513000001"/>
    <n v="16.23394545"/>
    <n v="7.7782093000001495E-2"/>
  </r>
  <r>
    <d v="2013-07-27T00:00:00"/>
    <x v="48"/>
    <n v="14.806065419999999"/>
    <n v="0"/>
    <n v="3.5392105389999999"/>
    <n v="11.080446540000001"/>
    <n v="9.3272219580000009"/>
    <n v="0"/>
    <n v="11.266854881"/>
    <n v="14.806065419999999"/>
    <n v="0.18640834099999992"/>
  </r>
  <r>
    <d v="2013-07-28T00:00:00"/>
    <x v="48"/>
    <n v="11.080446540000001"/>
    <n v="0"/>
    <n v="3.5555265720000002"/>
    <n v="7.478855523"/>
    <n v="7.0832182269999997"/>
    <n v="0"/>
    <n v="7.5249199680000007"/>
    <n v="11.080446540000001"/>
    <n v="4.6064445000000731E-2"/>
  </r>
  <r>
    <d v="2013-07-29T00:00:00"/>
    <x v="48"/>
    <n v="7.478855523"/>
    <n v="0"/>
    <n v="2.7363134260000002"/>
    <n v="4.5277779479999998"/>
    <n v="9.6635221419999997"/>
    <n v="0"/>
    <n v="4.7425420969999994"/>
    <n v="7.478855523"/>
    <n v="0.21476414899999963"/>
  </r>
  <r>
    <d v="2013-07-30T00:00:00"/>
    <x v="49"/>
    <n v="4.5277779479999998"/>
    <n v="16"/>
    <n v="4.8312731749999998"/>
    <n v="15.674932249999999"/>
    <n v="8.7594973720000002"/>
    <n v="0"/>
    <n v="15.696504773000001"/>
    <n v="20.527777948000001"/>
    <n v="2.1572523000001453E-2"/>
  </r>
  <r>
    <d v="2013-07-31T00:00:00"/>
    <x v="49"/>
    <n v="15.674932249999999"/>
    <n v="0"/>
    <n v="4.3103880349999999"/>
    <n v="11.30449525"/>
    <n v="9.8817680509999999"/>
    <n v="0"/>
    <n v="11.364544214999999"/>
    <n v="15.674932249999999"/>
    <n v="6.0048964999998233E-2"/>
  </r>
  <r>
    <d v="2013-08-01T00:00:00"/>
    <x v="49"/>
    <n v="11.30449525"/>
    <n v="0"/>
    <n v="3.8503342599999999"/>
    <n v="7.378572782"/>
    <n v="9.6433107719999995"/>
    <n v="0"/>
    <n v="7.4541609900000001"/>
    <n v="11.30449525"/>
    <n v="7.5588208000000101E-2"/>
  </r>
  <r>
    <d v="2013-08-02T00:00:00"/>
    <x v="49"/>
    <n v="7.378572782"/>
    <n v="0"/>
    <n v="1.858422021"/>
    <n v="5.5146405830000003"/>
    <n v="10.76994661"/>
    <n v="0"/>
    <n v="5.520150761"/>
    <n v="7.378572782"/>
    <n v="5.5101779999997547E-3"/>
  </r>
  <r>
    <d v="2013-08-03T00:00:00"/>
    <x v="50"/>
    <n v="5.5146405830000003"/>
    <n v="5.7"/>
    <n v="2.1200911549999999"/>
    <n v="9.0940218480000006"/>
    <n v="14.346733589999999"/>
    <n v="0"/>
    <n v="9.0945494280000005"/>
    <n v="11.214640583000001"/>
    <n v="5.2757999999997196E-4"/>
  </r>
  <r>
    <d v="2013-08-04T00:00:00"/>
    <x v="51"/>
    <n v="9.0940218480000006"/>
    <n v="5.0999999999999996"/>
    <n v="4.3499899309999996"/>
    <n v="9.4628625540000009"/>
    <n v="14.52530922"/>
    <n v="0"/>
    <n v="9.8440319170000006"/>
    <n v="14.194021848"/>
    <n v="0.38116936299999971"/>
  </r>
  <r>
    <d v="2013-08-05T00:00:00"/>
    <x v="52"/>
    <n v="9.4628625540000009"/>
    <n v="5.9"/>
    <n v="4.0640673869999997"/>
    <n v="11.294960319999999"/>
    <n v="14.28461416"/>
    <n v="0"/>
    <n v="11.298795167000002"/>
    <n v="15.362862554000001"/>
    <n v="3.8348470000020285E-3"/>
  </r>
  <r>
    <d v="2013-08-06T00:00:00"/>
    <x v="53"/>
    <n v="11.294960319999999"/>
    <n v="4.5999999999999996"/>
    <n v="3.0843967839999999"/>
    <n v="12.75510388"/>
    <n v="13.94824382"/>
    <n v="0"/>
    <n v="12.810563536"/>
    <n v="15.894960319999999"/>
    <n v="5.5459656000000024E-2"/>
  </r>
  <r>
    <d v="2013-08-07T00:00:00"/>
    <x v="54"/>
    <n v="12.75510388"/>
    <n v="5.0999999999999996"/>
    <n v="4.1683118700000001"/>
    <n v="13.686328230000001"/>
    <n v="14.290271369999999"/>
    <n v="0"/>
    <n v="13.686792010000001"/>
    <n v="17.855103880000001"/>
    <n v="4.6378000000046882E-4"/>
  </r>
  <r>
    <d v="2013-08-08T00:00:00"/>
    <x v="54"/>
    <n v="13.686328230000001"/>
    <n v="0"/>
    <n v="3.231293156"/>
    <n v="10.449511640000001"/>
    <n v="14.63050065"/>
    <n v="0"/>
    <n v="10.455035074000001"/>
    <n v="13.686328230000001"/>
    <n v="5.5234340000005488E-3"/>
  </r>
  <r>
    <d v="2013-08-09T00:00:00"/>
    <x v="55"/>
    <n v="10.449511640000001"/>
    <n v="4.3"/>
    <n v="2.1161428600000001"/>
    <n v="12.098419850000001"/>
    <n v="14.25529219"/>
    <n v="0"/>
    <n v="12.633368780000001"/>
    <n v="14.749511640000001"/>
    <n v="0.53494893000000054"/>
  </r>
  <r>
    <d v="2013-08-10T00:00:00"/>
    <x v="56"/>
    <n v="12.098419850000001"/>
    <n v="4.0999999999999996"/>
    <n v="3.230046261"/>
    <n v="12.80654457"/>
    <n v="14.13577085"/>
    <n v="0"/>
    <n v="12.968373589"/>
    <n v="16.198419850000001"/>
    <n v="0.16182901900000068"/>
  </r>
  <r>
    <d v="2013-08-11T00:00:00"/>
    <x v="57"/>
    <n v="12.80654457"/>
    <n v="4.3"/>
    <n v="3.8824208320000002"/>
    <n v="12.921752529999999"/>
    <n v="14.462404149999999"/>
    <n v="0"/>
    <n v="13.224123737999999"/>
    <n v="17.106544570000001"/>
    <n v="0.30237120800000028"/>
  </r>
  <r>
    <d v="2013-08-12T00:00:00"/>
    <x v="57"/>
    <n v="12.921752529999999"/>
    <n v="0"/>
    <n v="1.711965145"/>
    <n v="11.20977823"/>
    <n v="14.248107190000001"/>
    <n v="0"/>
    <n v="11.209787384999998"/>
    <n v="12.921752529999999"/>
    <n v="9.1549999989837261E-6"/>
  </r>
  <r>
    <d v="2013-08-13T00:00:00"/>
    <x v="57"/>
    <n v="11.20977823"/>
    <n v="0"/>
    <n v="2.7888196860000001"/>
    <n v="8.3282779750000007"/>
    <n v="14.7216688"/>
    <n v="0"/>
    <n v="8.4209585439999994"/>
    <n v="11.20977823"/>
    <n v="9.2680568999998769E-2"/>
  </r>
  <r>
    <d v="2013-08-14T00:00:00"/>
    <x v="58"/>
    <n v="8.3282779750000007"/>
    <n v="10.3"/>
    <n v="7.0264457990000002"/>
    <n v="11.559916449999999"/>
    <n v="10.05641801"/>
    <n v="0"/>
    <n v="11.601832176000002"/>
    <n v="18.628277975000003"/>
    <n v="4.1915726000002707E-2"/>
  </r>
  <r>
    <d v="2013-08-15T00:00:00"/>
    <x v="59"/>
    <n v="11.559916449999999"/>
    <n v="5.2"/>
    <n v="3.9694903429999999"/>
    <n v="12.70008784"/>
    <n v="11.44160757"/>
    <n v="0"/>
    <n v="12.790426106999998"/>
    <n v="16.759916449999999"/>
    <n v="9.033826699999814E-2"/>
  </r>
  <r>
    <d v="2013-08-16T00:00:00"/>
    <x v="60"/>
    <n v="12.70008784"/>
    <n v="5.3"/>
    <n v="5.6662147709999999"/>
    <n v="11.7946069"/>
    <n v="10.347025759999999"/>
    <n v="0"/>
    <n v="12.333873068999999"/>
    <n v="18.000087839999999"/>
    <n v="0.53926616899999935"/>
  </r>
  <r>
    <d v="2013-08-17T00:00:00"/>
    <x v="61"/>
    <n v="11.7946069"/>
    <n v="4.7"/>
    <n v="5.4337507110000001"/>
    <n v="11.0600211"/>
    <n v="10.12945803"/>
    <n v="0"/>
    <n v="11.060856189000001"/>
    <n v="16.494606900000001"/>
    <n v="8.350890000006217E-4"/>
  </r>
  <r>
    <d v="2013-08-18T00:00:00"/>
    <x v="62"/>
    <n v="11.0600211"/>
    <n v="5.5"/>
    <n v="5.8333358769999997"/>
    <n v="10.64127092"/>
    <n v="10.47750285"/>
    <n v="0"/>
    <n v="10.726685223"/>
    <n v="16.5600211"/>
    <n v="8.5414303000000302E-2"/>
  </r>
  <r>
    <d v="2013-08-19T00:00:00"/>
    <x v="63"/>
    <n v="10.64127092"/>
    <n v="5.0999999999999996"/>
    <n v="4.4379234209999998"/>
    <n v="11.02504444"/>
    <n v="11.66083654"/>
    <n v="0"/>
    <n v="11.303347499000001"/>
    <n v="15.74127092"/>
    <n v="0.27830305900000063"/>
  </r>
  <r>
    <d v="2013-08-20T00:00:00"/>
    <x v="64"/>
    <n v="11.02504444"/>
    <n v="5.4"/>
    <n v="3.524696026"/>
    <n v="11.740356179999999"/>
    <n v="10.82201283"/>
    <n v="0"/>
    <n v="12.900348414"/>
    <n v="16.425044440000001"/>
    <n v="1.1599922340000006"/>
  </r>
  <r>
    <d v="2013-08-21T00:00:00"/>
    <x v="65"/>
    <n v="11.740356179999999"/>
    <n v="5.4"/>
    <n v="4.9463456409999997"/>
    <n v="12.11225196"/>
    <n v="10.22498944"/>
    <n v="0"/>
    <n v="12.194010538999997"/>
    <n v="17.140356179999998"/>
    <n v="8.1758578999997056E-2"/>
  </r>
  <r>
    <d v="2013-08-22T00:00:00"/>
    <x v="66"/>
    <n v="12.11225196"/>
    <n v="4.7"/>
    <n v="3.8384898710000002"/>
    <n v="12.942391239999999"/>
    <n v="9.9637263380000007"/>
    <n v="0"/>
    <n v="12.973762089000001"/>
    <n v="16.812251960000001"/>
    <n v="3.1370849000001755E-2"/>
  </r>
  <r>
    <d v="2013-08-23T00:00:00"/>
    <x v="67"/>
    <n v="12.942391239999999"/>
    <n v="5.9"/>
    <n v="4.7815718619999998"/>
    <n v="13.790427230000001"/>
    <n v="10.57585907"/>
    <n v="0"/>
    <n v="14.060819377999998"/>
    <n v="18.842391239999998"/>
    <n v="0.27039214799999733"/>
  </r>
  <r>
    <d v="2013-08-24T00:00:00"/>
    <x v="68"/>
    <n v="13.790427230000001"/>
    <n v="5.2"/>
    <n v="5.0664228529999997"/>
    <n v="12.635224040000001"/>
    <n v="10.60684698"/>
    <n v="0"/>
    <n v="13.924004377000003"/>
    <n v="18.990427230000002"/>
    <n v="1.2887803370000022"/>
  </r>
  <r>
    <d v="2013-08-25T00:00:00"/>
    <x v="69"/>
    <n v="12.635224040000001"/>
    <n v="4.5999999999999996"/>
    <n v="4.2870828760000004"/>
    <n v="12.93495699"/>
    <n v="10.48396917"/>
    <n v="0"/>
    <n v="12.948141163999999"/>
    <n v="17.235224039999999"/>
    <n v="1.318417399999916E-2"/>
  </r>
  <r>
    <d v="2013-08-26T00:00:00"/>
    <x v="70"/>
    <n v="12.93495699"/>
    <n v="5"/>
    <n v="4.5256851820000001"/>
    <n v="13.405303050000001"/>
    <n v="10.628956479999999"/>
    <n v="0"/>
    <n v="13.409271808"/>
    <n v="17.93495699"/>
    <n v="3.968757999999184E-3"/>
  </r>
  <r>
    <d v="2013-08-27T00:00:00"/>
    <x v="70"/>
    <n v="13.405303050000001"/>
    <n v="0"/>
    <n v="2.9062268759999998"/>
    <n v="10.49144426"/>
    <n v="10.969576999999999"/>
    <n v="0"/>
    <n v="10.499076174000001"/>
    <n v="13.405303050000001"/>
    <n v="7.6319140000009611E-3"/>
  </r>
  <r>
    <d v="2013-08-28T00:00:00"/>
    <x v="70"/>
    <n v="10.49144426"/>
    <n v="0"/>
    <n v="2.825614785"/>
    <n v="7.419200676"/>
    <n v="14.14499818"/>
    <n v="0"/>
    <n v="7.6658294749999998"/>
    <n v="10.49144426"/>
    <n v="0.24662879899999979"/>
  </r>
  <r>
    <d v="2013-08-29T00:00:00"/>
    <x v="71"/>
    <n v="7.419200676"/>
    <n v="4.3"/>
    <n v="3.0405650980000001"/>
    <n v="8.6753524009999996"/>
    <n v="14.41607756"/>
    <n v="0"/>
    <n v="8.6786355779999997"/>
    <n v="11.719200676"/>
    <n v="3.283177000000137E-3"/>
  </r>
  <r>
    <d v="2013-08-30T00:00:00"/>
    <x v="71"/>
    <n v="8.6753524009999996"/>
    <n v="0"/>
    <n v="2.0203931339999999"/>
    <n v="6.654275545"/>
    <n v="13.914702950000001"/>
    <n v="0"/>
    <n v="6.6549592669999997"/>
    <n v="8.6753524009999996"/>
    <n v="6.8372199999977568E-4"/>
  </r>
  <r>
    <d v="2013-08-31T00:00:00"/>
    <x v="72"/>
    <n v="6.654275545"/>
    <n v="6.8"/>
    <n v="3.3473681499999999"/>
    <n v="10.04360425"/>
    <n v="14.13322539"/>
    <n v="0"/>
    <n v="10.106907395"/>
    <n v="13.454275545"/>
    <n v="6.3303145000000782E-2"/>
  </r>
  <r>
    <d v="2013-09-01T00:00:00"/>
    <x v="72"/>
    <n v="10.04360425"/>
    <n v="0"/>
    <n v="3.518757586"/>
    <n v="6.4046523579999999"/>
    <n v="14.15606421"/>
    <n v="0"/>
    <n v="6.524846664"/>
    <n v="10.04360425"/>
    <n v="0.12019430600000014"/>
  </r>
  <r>
    <d v="2013-09-02T00:00:00"/>
    <x v="72"/>
    <n v="6.4046523579999999"/>
    <n v="0"/>
    <n v="3.093357159"/>
    <n v="3.311103449"/>
    <n v="14.245561589999999"/>
    <n v="0"/>
    <n v="3.3112951989999999"/>
    <n v="6.4046523579999999"/>
    <n v="1.9174999999993503E-4"/>
  </r>
  <r>
    <d v="2013-09-03T00:00:00"/>
    <x v="73"/>
    <n v="3.311103449"/>
    <n v="9.3000000000000007"/>
    <n v="5.4953428579999999"/>
    <n v="7.1064307910000002"/>
    <n v="12.80655513"/>
    <n v="0"/>
    <n v="7.1157605910000017"/>
    <n v="12.611103449000002"/>
    <n v="9.329800000001498E-3"/>
  </r>
  <r>
    <d v="2013-09-04T00:00:00"/>
    <x v="73"/>
    <n v="7.1064307910000002"/>
    <n v="0"/>
    <n v="2.0204349019999999"/>
    <n v="5.0726411909999998"/>
    <n v="14.14909261"/>
    <n v="0"/>
    <n v="5.0859958890000003"/>
    <n v="7.1064307910000002"/>
    <n v="1.3354698000000553E-2"/>
  </r>
  <r>
    <d v="2013-09-05T00:00:00"/>
    <x v="74"/>
    <n v="5.0726411909999998"/>
    <n v="5.9"/>
    <n v="0.48327578199999999"/>
    <n v="10.48786954"/>
    <n v="13.96905542"/>
    <n v="0"/>
    <n v="10.489365409000001"/>
    <n v="10.972641191000001"/>
    <n v="1.4958690000010932E-3"/>
  </r>
  <r>
    <d v="2013-09-06T00:00:00"/>
    <x v="74"/>
    <n v="10.48786954"/>
    <n v="0"/>
    <n v="1.6612175929999999"/>
    <n v="8.8255197299999999"/>
    <n v="13.938049919999999"/>
    <n v="0"/>
    <n v="8.8266519470000002"/>
    <n v="10.48786954"/>
    <n v="1.132217000000324E-3"/>
  </r>
  <r>
    <d v="2013-09-07T00:00:00"/>
    <x v="75"/>
    <n v="8.8255197299999999"/>
    <n v="4.7"/>
    <n v="2.0624568980000002"/>
    <n v="11.061812209999999"/>
    <n v="12.62740597"/>
    <n v="0"/>
    <n v="11.463062831999999"/>
    <n v="13.525519729999999"/>
    <n v="0.40125062199999917"/>
  </r>
  <r>
    <d v="2013-09-08T00:00:00"/>
    <x v="75"/>
    <n v="11.061812209999999"/>
    <n v="0"/>
    <n v="1.316338298"/>
    <n v="9.4136386139999999"/>
    <n v="15.06543602"/>
    <n v="0"/>
    <n v="9.7454739119999996"/>
    <n v="11.061812209999999"/>
    <n v="0.33183529799999967"/>
  </r>
  <r>
    <d v="2013-09-09T00:00:00"/>
    <x v="76"/>
    <n v="9.4136386139999999"/>
    <n v="4.9000000000000004"/>
    <n v="2.9448725389999999"/>
    <n v="11.183728070000001"/>
    <n v="12.883767819999999"/>
    <n v="0"/>
    <n v="11.368766075"/>
    <n v="14.313638614"/>
    <n v="0.18503800499999912"/>
  </r>
  <r>
    <d v="2013-09-10T00:00:00"/>
    <x v="76"/>
    <n v="11.183728070000001"/>
    <n v="0"/>
    <n v="3.6144770679999998"/>
    <n v="7.2032309359999998"/>
    <n v="12.327501270000001"/>
    <n v="0"/>
    <n v="7.5692510020000014"/>
    <n v="11.183728070000001"/>
    <n v="0.3660200660000017"/>
  </r>
  <r>
    <d v="2013-09-11T00:00:00"/>
    <x v="76"/>
    <n v="7.2032309359999998"/>
    <n v="0"/>
    <n v="1.451164178"/>
    <n v="5.7366324000000004"/>
    <n v="13.02270482"/>
    <n v="0"/>
    <n v="5.7520667579999998"/>
    <n v="7.2032309359999998"/>
    <n v="1.5434357999999371E-2"/>
  </r>
  <r>
    <d v="2013-09-12T00:00:00"/>
    <x v="77"/>
    <n v="5.7366324000000004"/>
    <n v="4.9000000000000004"/>
    <n v="2.7417570050000002"/>
    <n v="7.7567912349999997"/>
    <n v="12.59405482"/>
    <n v="0"/>
    <n v="7.8948753949999997"/>
    <n v="10.6366324"/>
    <n v="0.13808416000000001"/>
  </r>
  <r>
    <d v="2013-09-13T00:00:00"/>
    <x v="77"/>
    <n v="7.7567912349999997"/>
    <n v="0"/>
    <n v="2.1889343000000001"/>
    <n v="5.5557345439999999"/>
    <n v="11.904880909999999"/>
    <n v="0"/>
    <n v="5.567856935"/>
    <n v="7.7567912349999997"/>
    <n v="1.2122391000000121E-2"/>
  </r>
  <r>
    <d v="2013-09-14T00:00:00"/>
    <x v="78"/>
    <n v="5.5557345439999999"/>
    <n v="5.7"/>
    <n v="2.8294214129999999"/>
    <n v="7.991935657"/>
    <n v="13.25933246"/>
    <n v="0"/>
    <n v="8.4263131309999988"/>
    <n v="11.255734543999999"/>
    <n v="0.43437747399999882"/>
  </r>
  <r>
    <d v="2013-09-15T00:00:00"/>
    <x v="79"/>
    <n v="7.991935657"/>
    <n v="4.7"/>
    <n v="2.4582314109999999"/>
    <n v="10.180452000000001"/>
    <n v="13.202202099999999"/>
    <n v="0"/>
    <n v="10.233704246"/>
    <n v="12.691935657"/>
    <n v="5.3252245999999559E-2"/>
  </r>
  <r>
    <d v="2013-09-16T00:00:00"/>
    <x v="80"/>
    <n v="10.180452000000001"/>
    <n v="4.9000000000000004"/>
    <n v="3.5275180869999998"/>
    <n v="11.288793849999999"/>
    <n v="13.74640763"/>
    <n v="0"/>
    <n v="11.552933913"/>
    <n v="15.080452000000001"/>
    <n v="0.26414006300000104"/>
  </r>
  <r>
    <d v="2013-09-17T00:00:00"/>
    <x v="80"/>
    <n v="11.288793849999999"/>
    <n v="0"/>
    <n v="2.0494122190000001"/>
    <n v="9.1955550800000001"/>
    <n v="14.12981218"/>
    <n v="0"/>
    <n v="9.2393816309999988"/>
    <n v="11.288793849999999"/>
    <n v="4.3826550999998659E-2"/>
  </r>
  <r>
    <d v="2013-09-18T00:00:00"/>
    <x v="81"/>
    <n v="9.1955550800000001"/>
    <n v="5"/>
    <n v="3.9727018639999998"/>
    <n v="10.0116341"/>
    <n v="13.485268960000001"/>
    <n v="0"/>
    <n v="10.222853216000001"/>
    <n v="14.19555508"/>
    <n v="0.21121911600000054"/>
  </r>
  <r>
    <d v="2013-09-19T00:00:00"/>
    <x v="81"/>
    <n v="10.0116341"/>
    <n v="0"/>
    <n v="3.1215481490000001"/>
    <n v="6.6953453940000003"/>
    <n v="14.08173839"/>
    <n v="0"/>
    <n v="6.8900859509999997"/>
    <n v="10.0116341"/>
    <n v="0.19474055699999937"/>
  </r>
  <r>
    <d v="2013-09-20T00:00:00"/>
    <x v="82"/>
    <n v="6.6953453940000003"/>
    <n v="4.4000000000000004"/>
    <n v="1.1515860600000001"/>
    <n v="9.8086202290000006"/>
    <n v="13.679457510000001"/>
    <n v="0"/>
    <n v="9.943759334000001"/>
    <n v="11.095345394000001"/>
    <n v="0.13513910500000037"/>
  </r>
  <r>
    <d v="2013-09-21T00:00:00"/>
    <x v="83"/>
    <n v="9.8086202290000006"/>
    <n v="5.7"/>
    <n v="1.16704228"/>
    <n v="14.19134519"/>
    <n v="13.611835320000001"/>
    <n v="0"/>
    <n v="14.341577949000001"/>
    <n v="15.508620229000002"/>
    <n v="0.15023275900000144"/>
  </r>
  <r>
    <d v="2013-09-22T00:00:00"/>
    <x v="83"/>
    <n v="14.19134519"/>
    <n v="0"/>
    <n v="2.2041708440000001"/>
    <n v="11.815504539999999"/>
    <n v="13.74273814"/>
    <n v="0"/>
    <n v="11.987174346"/>
    <n v="14.19134519"/>
    <n v="0.17166980600000059"/>
  </r>
  <r>
    <d v="2013-09-23T00:00:00"/>
    <x v="83"/>
    <n v="11.815504539999999"/>
    <n v="0"/>
    <n v="0.76313636900000004"/>
    <n v="10.99335934"/>
    <n v="14.134009349999999"/>
    <n v="0"/>
    <n v="11.052368170999999"/>
    <n v="11.815504539999999"/>
    <n v="5.9008830999999873E-2"/>
  </r>
  <r>
    <d v="2013-09-24T00:00:00"/>
    <x v="83"/>
    <n v="10.99335934"/>
    <n v="0"/>
    <n v="1.974192301"/>
    <n v="9.0190036199999994"/>
    <n v="13.26285041"/>
    <n v="0"/>
    <n v="9.0191670389999992"/>
    <n v="10.99335934"/>
    <n v="1.6341899999972043E-4"/>
  </r>
  <r>
    <d v="2013-09-25T00:00:00"/>
    <x v="84"/>
    <n v="9.0190036199999994"/>
    <n v="17.3"/>
    <n v="4.5043055299999999"/>
    <n v="21.79544559"/>
    <n v="10.85421285"/>
    <n v="0"/>
    <n v="21.81469809"/>
    <n v="26.31900362"/>
    <n v="1.9252500000000339E-2"/>
  </r>
  <r>
    <d v="2013-09-26T00:00:00"/>
    <x v="84"/>
    <n v="21.79544559"/>
    <n v="0"/>
    <n v="4.5527662920000003"/>
    <n v="17.175507440000001"/>
    <n v="10.57519025"/>
    <n v="0"/>
    <n v="17.242679297999999"/>
    <n v="21.79544559"/>
    <n v="6.7171857999998252E-2"/>
  </r>
  <r>
    <d v="2013-09-27T00:00:00"/>
    <x v="84"/>
    <n v="17.175507440000001"/>
    <n v="0"/>
    <n v="6.5577475869999997"/>
    <n v="10.16544633"/>
    <n v="10.258946679999999"/>
    <n v="0"/>
    <n v="10.617759853000001"/>
    <n v="17.175507440000001"/>
    <n v="0.45231352300000083"/>
  </r>
  <r>
    <d v="2013-09-28T00:00:00"/>
    <x v="84"/>
    <n v="10.16544633"/>
    <n v="0"/>
    <n v="5.0776868129999997"/>
    <n v="5.0760535920000001"/>
    <n v="11.17807309"/>
    <n v="0"/>
    <n v="5.0877595170000003"/>
    <n v="10.16544633"/>
    <n v="1.1705925000000228E-2"/>
  </r>
  <r>
    <d v="2013-09-29T00:00:00"/>
    <x v="84"/>
    <n v="5.0760535920000001"/>
    <n v="0"/>
    <n v="4.2626210640000002"/>
    <n v="0.58886844199999999"/>
    <n v="8.2427265129999991"/>
    <n v="0"/>
    <n v="0.81343252799999988"/>
    <n v="5.0760535920000001"/>
    <n v="0.22456408599999989"/>
  </r>
  <r>
    <d v="2013-09-30T00:00:00"/>
    <x v="85"/>
    <n v="0.58886844199999999"/>
    <n v="11.4"/>
    <n v="2.8754243480000001"/>
    <n v="9.0786477629999993"/>
    <n v="10.259061559999999"/>
    <n v="0"/>
    <n v="9.1134440940000019"/>
    <n v="11.988868442000001"/>
    <n v="3.4796331000002567E-2"/>
  </r>
  <r>
    <d v="2013-10-01T00:00:00"/>
    <x v="85"/>
    <n v="9.0786477629999993"/>
    <n v="0"/>
    <n v="4.4862330950000002"/>
    <n v="4.5805974149999997"/>
    <n v="9.9776334870000003"/>
    <n v="0"/>
    <n v="4.5924146679999991"/>
    <n v="9.0786477629999993"/>
    <n v="1.1817252999999361E-2"/>
  </r>
  <r>
    <d v="2013-10-02T00:00:00"/>
    <x v="85"/>
    <n v="4.5805974149999997"/>
    <n v="0"/>
    <n v="2.5301585480000002"/>
    <n v="1.934727662"/>
    <n v="10.697704379999999"/>
    <n v="0"/>
    <n v="2.0504388669999996"/>
    <n v="4.5805974149999997"/>
    <n v="0.11571120499999954"/>
  </r>
  <r>
    <d v="2013-10-03T00:00:00"/>
    <x v="86"/>
    <n v="1.934727662"/>
    <n v="12.7"/>
    <n v="2.712260611"/>
    <n v="11.92214442"/>
    <n v="10.93891683"/>
    <n v="0"/>
    <n v="11.922467051"/>
    <n v="14.634727662"/>
    <n v="3.2263099999951805E-4"/>
  </r>
  <r>
    <d v="2013-10-04T00:00:00"/>
    <x v="86"/>
    <n v="11.92214442"/>
    <n v="0"/>
    <n v="2.7905413870000002"/>
    <n v="8.9322149700000004"/>
    <n v="11.67679886"/>
    <n v="0"/>
    <n v="9.1316030330000011"/>
    <n v="11.92214442"/>
    <n v="0.19938806300000067"/>
  </r>
  <r>
    <d v="2013-10-05T00:00:00"/>
    <x v="86"/>
    <n v="8.9322149700000004"/>
    <n v="0"/>
    <n v="2.8219989129999998"/>
    <n v="6.1100781130000001"/>
    <n v="11.06662116"/>
    <n v="0"/>
    <n v="6.1102160570000006"/>
    <n v="8.9322149700000004"/>
    <n v="1.3794400000044504E-4"/>
  </r>
  <r>
    <d v="2013-10-06T00:00:00"/>
    <x v="87"/>
    <n v="6.1100781130000001"/>
    <n v="14.1"/>
    <n v="5.2670744090000001"/>
    <n v="14.85974008"/>
    <n v="10.70630997"/>
    <n v="0"/>
    <n v="14.943003704000002"/>
    <n v="20.210078113000002"/>
    <n v="8.3263624000002423E-2"/>
  </r>
  <r>
    <d v="2013-10-07T00:00:00"/>
    <x v="87"/>
    <n v="14.85974008"/>
    <n v="0"/>
    <n v="4.9224684229999998"/>
    <n v="9.3910172690000007"/>
    <n v="11.4832079"/>
    <n v="0"/>
    <n v="9.9372716570000001"/>
    <n v="14.85974008"/>
    <n v="0.54625438799999948"/>
  </r>
  <r>
    <d v="2013-10-08T00:00:00"/>
    <x v="87"/>
    <n v="9.3910172690000007"/>
    <n v="0"/>
    <n v="4.1363832379999996"/>
    <n v="5.231989649"/>
    <n v="11.04671798"/>
    <n v="0"/>
    <n v="5.254634031000001"/>
    <n v="9.3910172690000007"/>
    <n v="2.2644382000001073E-2"/>
  </r>
  <r>
    <d v="2013-10-09T00:00:00"/>
    <x v="87"/>
    <n v="5.231989649"/>
    <n v="0"/>
    <n v="1.978636866"/>
    <n v="3.216361858"/>
    <n v="11.886766639999999"/>
    <n v="0"/>
    <n v="3.253352783"/>
    <n v="5.231989649"/>
    <n v="3.6990925000000008E-2"/>
  </r>
  <r>
    <d v="2013-10-10T00:00:00"/>
    <x v="88"/>
    <n v="3.216361858"/>
    <n v="12.8"/>
    <n v="2.0908119279999999"/>
    <n v="13.86438051"/>
    <n v="12.45284773"/>
    <n v="0"/>
    <n v="13.925549929999999"/>
    <n v="16.016361858"/>
    <n v="6.1169419999998809E-2"/>
  </r>
  <r>
    <d v="2013-10-11T00:00:00"/>
    <x v="88"/>
    <n v="13.86438051"/>
    <n v="0"/>
    <n v="2.364488997"/>
    <n v="11.47901935"/>
    <n v="13.28812398"/>
    <n v="0"/>
    <n v="11.499891513"/>
    <n v="13.86438051"/>
    <n v="2.0872162999999944E-2"/>
  </r>
  <r>
    <d v="2013-10-12T00:00:00"/>
    <x v="88"/>
    <n v="11.47901935"/>
    <n v="0"/>
    <n v="2.2127726839999999"/>
    <n v="9.2078683350000006"/>
    <n v="12.471570809999999"/>
    <n v="0"/>
    <n v="9.2662466660000007"/>
    <n v="11.47901935"/>
    <n v="5.8378331000000117E-2"/>
  </r>
  <r>
    <d v="2013-10-13T00:00:00"/>
    <x v="88"/>
    <n v="9.2078683350000006"/>
    <n v="0"/>
    <n v="2.3254345750000001"/>
    <n v="6.8570884850000002"/>
    <n v="12.399087919999999"/>
    <n v="0"/>
    <n v="6.8824337600000005"/>
    <n v="9.2078683350000006"/>
    <n v="2.5345275000000278E-2"/>
  </r>
  <r>
    <d v="2013-10-14T00:00:00"/>
    <x v="89"/>
    <n v="6.8570884850000002"/>
    <n v="22"/>
    <n v="1.4509285350000001"/>
    <n v="26.56030724"/>
    <n v="13.94070615"/>
    <n v="0"/>
    <n v="27.406159949999999"/>
    <n v="28.857088484999998"/>
    <n v="0.84585270999999906"/>
  </r>
  <r>
    <d v="2013-10-15T00:00:00"/>
    <x v="89"/>
    <n v="26.56030724"/>
    <n v="0"/>
    <n v="1.7718958869999999"/>
    <n v="24.469281559999999"/>
    <n v="13.526893340000001"/>
    <n v="0"/>
    <n v="24.788411353000001"/>
    <n v="26.56030724"/>
    <n v="0.31912979300000188"/>
  </r>
  <r>
    <d v="2013-10-16T00:00:00"/>
    <x v="89"/>
    <n v="24.469281559999999"/>
    <n v="0"/>
    <n v="3.1075299360000002"/>
    <n v="21.323204969999999"/>
    <n v="11.191518690000001"/>
    <n v="0"/>
    <n v="21.361751624"/>
    <n v="24.469281559999999"/>
    <n v="3.8546654000001013E-2"/>
  </r>
  <r>
    <d v="2013-10-17T00:00:00"/>
    <x v="89"/>
    <n v="21.323204969999999"/>
    <n v="0"/>
    <n v="3.616538566"/>
    <n v="17.3122951"/>
    <n v="10.73184403"/>
    <n v="0"/>
    <n v="17.706666404"/>
    <n v="21.323204969999999"/>
    <n v="0.39437130399999987"/>
  </r>
  <r>
    <d v="2013-10-18T00:00:00"/>
    <x v="89"/>
    <n v="17.3122951"/>
    <n v="0"/>
    <n v="2.754376052"/>
    <n v="14.34842521"/>
    <n v="13.336596139999999"/>
    <n v="0"/>
    <n v="14.557919048"/>
    <n v="17.3122951"/>
    <n v="0.20949383800000021"/>
  </r>
  <r>
    <d v="2013-10-19T00:00:00"/>
    <x v="89"/>
    <n v="14.34842521"/>
    <n v="0"/>
    <n v="3.8176265210000002"/>
    <n v="10.51344862"/>
    <n v="14.00457125"/>
    <n v="0"/>
    <n v="10.530798689000001"/>
    <n v="14.34842521"/>
    <n v="1.7350069000000801E-2"/>
  </r>
  <r>
    <d v="2013-10-20T00:00:00"/>
    <x v="89"/>
    <n v="10.51344862"/>
    <n v="0"/>
    <n v="0.85672462400000005"/>
    <n v="9.4860308010000001"/>
    <n v="13.991176250000001"/>
    <n v="0"/>
    <n v="9.6567239960000002"/>
    <n v="10.51344862"/>
    <n v="0.17069319500000013"/>
  </r>
  <r>
    <d v="2013-10-21T00:00:00"/>
    <x v="89"/>
    <n v="9.4860308010000001"/>
    <n v="0"/>
    <n v="0.87198381599999997"/>
    <n v="8.6136921130000008"/>
    <n v="13.956469009999999"/>
    <n v="0"/>
    <n v="8.6140469849999999"/>
    <n v="9.4860308010000001"/>
    <n v="3.5487199999906238E-4"/>
  </r>
  <r>
    <d v="2013-10-22T00:00:00"/>
    <x v="90"/>
    <n v="8.6136921130000008"/>
    <n v="41.2"/>
    <n v="3.2590397169999998"/>
    <n v="46.406204279999997"/>
    <n v="13.612823860000001"/>
    <n v="0"/>
    <n v="46.554652396000002"/>
    <n v="49.813692113000002"/>
    <n v="0.1484481160000044"/>
  </r>
  <r>
    <d v="2013-10-23T00:00:00"/>
    <x v="90"/>
    <n v="46.406204279999997"/>
    <n v="0"/>
    <n v="4.8319170869999999"/>
    <n v="41.436248110000001"/>
    <n v="11.915646260000001"/>
    <n v="0"/>
    <n v="41.574287192999996"/>
    <n v="46.406204279999997"/>
    <n v="0.13803908299999534"/>
  </r>
  <r>
    <d v="2013-10-24T00:00:00"/>
    <x v="90"/>
    <n v="41.436248110000001"/>
    <n v="0"/>
    <n v="4.0398013820000003"/>
    <n v="36.811215109999999"/>
    <n v="11.974719179999999"/>
    <n v="0"/>
    <n v="37.396446728000001"/>
    <n v="41.436248110000001"/>
    <n v="0.58523161800000167"/>
  </r>
  <r>
    <d v="2013-10-25T00:00:00"/>
    <x v="90"/>
    <n v="36.811215109999999"/>
    <n v="0"/>
    <n v="4.1146988630000001"/>
    <n v="32.586716500000001"/>
    <n v="11.913207460000001"/>
    <n v="0"/>
    <n v="32.696516246999998"/>
    <n v="36.811215109999999"/>
    <n v="0.10979974699999673"/>
  </r>
  <r>
    <d v="2013-10-26T00:00:00"/>
    <x v="90"/>
    <n v="32.586716500000001"/>
    <n v="0"/>
    <n v="2.881351548"/>
    <n v="29.285495059999999"/>
    <n v="11.92779427"/>
    <n v="0"/>
    <n v="29.705364952"/>
    <n v="32.586716500000001"/>
    <n v="0.41986989200000124"/>
  </r>
  <r>
    <d v="2013-10-27T00:00:00"/>
    <x v="90"/>
    <n v="29.285495059999999"/>
    <n v="0"/>
    <n v="5.6830242269999998"/>
    <n v="23.567852819999999"/>
    <n v="11.963812020000001"/>
    <n v="0"/>
    <n v="23.602470832999998"/>
    <n v="29.285495059999999"/>
    <n v="3.4618012999999337E-2"/>
  </r>
  <r>
    <d v="2013-10-28T00:00:00"/>
    <x v="91"/>
    <n v="23.567852819999999"/>
    <n v="21.1"/>
    <n v="1.4122193540000001"/>
    <n v="43.246146869999997"/>
    <n v="11.925239639999999"/>
    <n v="0"/>
    <n v="43.255633465999999"/>
    <n v="44.66785282"/>
    <n v="9.4865960000021232E-3"/>
  </r>
  <r>
    <d v="2013-10-29T00:00:00"/>
    <x v="91"/>
    <n v="43.246146869999997"/>
    <n v="0"/>
    <n v="4.6610288549999996"/>
    <n v="37.471294589999999"/>
    <n v="9.9313872280000002"/>
    <n v="0"/>
    <n v="38.585118014999999"/>
    <n v="43.246146869999997"/>
    <n v="1.1138234249999996"/>
  </r>
  <r>
    <d v="2013-10-30T00:00:00"/>
    <x v="91"/>
    <n v="37.471294589999999"/>
    <n v="0"/>
    <n v="3.457715941"/>
    <n v="33.65633776"/>
    <n v="11.99316046"/>
    <n v="0"/>
    <n v="34.013578648999996"/>
    <n v="37.471294589999999"/>
    <n v="0.35724088899999629"/>
  </r>
  <r>
    <d v="2013-10-31T00:00:00"/>
    <x v="91"/>
    <n v="33.65633776"/>
    <n v="0"/>
    <n v="4.6419804080000002"/>
    <n v="29.0114631"/>
    <n v="11.97839211"/>
    <n v="0"/>
    <n v="29.014357351999998"/>
    <n v="33.65633776"/>
    <n v="2.894251999997266E-3"/>
  </r>
  <r>
    <d v="2013-11-01T00:00:00"/>
    <x v="91"/>
    <n v="29.0114631"/>
    <n v="0"/>
    <n v="3.9238192980000002"/>
    <n v="25.087491069999999"/>
    <n v="11.92762731"/>
    <n v="0"/>
    <n v="25.087643801999999"/>
    <n v="29.0114631"/>
    <n v="1.5273200000009979E-4"/>
  </r>
  <r>
    <d v="2013-11-02T00:00:00"/>
    <x v="91"/>
    <n v="25.087491069999999"/>
    <n v="0"/>
    <n v="3.1188092350000001"/>
    <n v="21.705573529999999"/>
    <n v="11.973733729999999"/>
    <n v="0"/>
    <n v="21.968681834999998"/>
    <n v="25.087491069999999"/>
    <n v="0.26310830499999938"/>
  </r>
  <r>
    <d v="2013-11-03T00:00:00"/>
    <x v="91"/>
    <n v="21.705573529999999"/>
    <n v="0"/>
    <n v="1.159162295"/>
    <n v="20.244816480000001"/>
    <n v="11.96737654"/>
    <n v="0"/>
    <n v="20.546411234999997"/>
    <n v="21.705573529999999"/>
    <n v="0.30159475499999644"/>
  </r>
  <r>
    <d v="2013-11-04T00:00:00"/>
    <x v="91"/>
    <n v="20.244816480000001"/>
    <n v="0"/>
    <n v="1.812735534"/>
    <n v="18.431985180000002"/>
    <n v="12.0047674"/>
    <n v="0"/>
    <n v="18.432080945999999"/>
    <n v="20.244816480000001"/>
    <n v="9.5765999997610152E-5"/>
  </r>
  <r>
    <d v="2013-11-05T00:00:00"/>
    <x v="91"/>
    <n v="18.431985180000002"/>
    <n v="0"/>
    <n v="1.379297875"/>
    <n v="16.545161929999999"/>
    <n v="11.98459615"/>
    <n v="0"/>
    <n v="17.052687305000003"/>
    <n v="18.431985180000002"/>
    <n v="0.50752537500000372"/>
  </r>
  <r>
    <d v="2013-11-06T00:00:00"/>
    <x v="91"/>
    <n v="16.545161929999999"/>
    <n v="0"/>
    <n v="3.1296564760000001"/>
    <n v="13.36774065"/>
    <n v="12.65256686"/>
    <n v="0"/>
    <n v="13.415505453999998"/>
    <n v="16.545161929999999"/>
    <n v="4.7764803999998051E-2"/>
  </r>
  <r>
    <d v="2013-11-07T00:00:00"/>
    <x v="92"/>
    <n v="13.36774065"/>
    <n v="6.2"/>
    <n v="1.5537708079999999"/>
    <n v="18.013713729999999"/>
    <n v="13.146152819999999"/>
    <n v="0"/>
    <n v="18.013969842000002"/>
    <n v="19.567740650000001"/>
    <n v="2.5611200000241752E-4"/>
  </r>
  <r>
    <d v="2013-11-08T00:00:00"/>
    <x v="92"/>
    <n v="18.013713729999999"/>
    <n v="0"/>
    <n v="0.63258317900000005"/>
    <n v="17.368753600000002"/>
    <n v="13.167842609999999"/>
    <n v="0"/>
    <n v="17.381130550999998"/>
    <n v="18.013713729999999"/>
    <n v="1.2376950999996694E-2"/>
  </r>
  <r>
    <d v="2013-11-09T00:00:00"/>
    <x v="92"/>
    <n v="17.368753600000002"/>
    <n v="0"/>
    <n v="2.289597949"/>
    <n v="15.07739061"/>
    <n v="13.203686360000001"/>
    <n v="0"/>
    <n v="15.079155651000001"/>
    <n v="17.368753600000002"/>
    <n v="1.7650410000005223E-3"/>
  </r>
  <r>
    <d v="2013-11-10T00:00:00"/>
    <x v="92"/>
    <n v="15.07739061"/>
    <n v="0"/>
    <n v="1.5699855330000001"/>
    <n v="13.47082515"/>
    <n v="13.11793484"/>
    <n v="0"/>
    <n v="13.507405077"/>
    <n v="15.07739061"/>
    <n v="3.6579927000000012E-2"/>
  </r>
  <r>
    <d v="2013-11-11T00:00:00"/>
    <x v="92"/>
    <n v="13.47082515"/>
    <n v="0"/>
    <n v="3.2940636350000001"/>
    <n v="10.17675038"/>
    <n v="13.12795085"/>
    <n v="0"/>
    <n v="10.176761514999999"/>
    <n v="13.47082515"/>
    <n v="1.1134999999384831E-5"/>
  </r>
  <r>
    <d v="2013-11-12T00:00:00"/>
    <x v="92"/>
    <n v="10.17675038"/>
    <n v="0"/>
    <n v="2.9725167849999998"/>
    <n v="7.1523392719999999"/>
    <n v="13.1328786"/>
    <n v="0"/>
    <n v="7.2042335949999998"/>
    <n v="10.17675038"/>
    <n v="5.1894322999999964E-2"/>
  </r>
  <r>
    <d v="2013-11-13T00:00:00"/>
    <x v="93"/>
    <n v="7.1523392719999999"/>
    <n v="22.8"/>
    <n v="0.90617674999999998"/>
    <n v="29.046152419999999"/>
    <n v="13.14873886"/>
    <n v="0"/>
    <n v="29.046162521999999"/>
    <n v="29.952339272"/>
    <n v="1.0102000000955513E-5"/>
  </r>
  <r>
    <d v="2013-11-14T00:00:00"/>
    <x v="93"/>
    <n v="29.046152419999999"/>
    <n v="0"/>
    <n v="1.1753420109999999"/>
    <n v="27.870800209999999"/>
    <n v="13.189703639999999"/>
    <n v="0"/>
    <n v="27.870810408999997"/>
    <n v="29.046152419999999"/>
    <n v="1.0198999998323188E-5"/>
  </r>
  <r>
    <d v="2013-11-15T00:00:00"/>
    <x v="93"/>
    <n v="27.870800209999999"/>
    <n v="0"/>
    <n v="0.218437357"/>
    <n v="26.58623785"/>
    <n v="13.20424944"/>
    <n v="0"/>
    <n v="27.652362853"/>
    <n v="27.870800209999999"/>
    <n v="1.0661250029999998"/>
  </r>
  <r>
    <d v="2013-11-16T00:00:00"/>
    <x v="93"/>
    <n v="26.58623785"/>
    <n v="0"/>
    <n v="1.5648574790000001"/>
    <n v="25.007239980000001"/>
    <n v="13.121421870000001"/>
    <n v="0"/>
    <n v="25.021380370999999"/>
    <n v="26.58623785"/>
    <n v="1.4140390999997976E-2"/>
  </r>
  <r>
    <d v="2013-11-17T00:00:00"/>
    <x v="93"/>
    <n v="25.007239980000001"/>
    <n v="0"/>
    <n v="1.4258553140000001"/>
    <n v="23.548821230000001"/>
    <n v="13.15448323"/>
    <n v="0"/>
    <n v="23.581384666000002"/>
    <n v="25.007239980000001"/>
    <n v="3.2563436000000223E-2"/>
  </r>
  <r>
    <d v="2013-11-18T00:00:00"/>
    <x v="93"/>
    <n v="23.548821230000001"/>
    <n v="0"/>
    <n v="1.788970462"/>
    <n v="21.38067345"/>
    <n v="13.153525480000001"/>
    <n v="0"/>
    <n v="21.759850768"/>
    <n v="23.548821230000001"/>
    <n v="0.37917731799999999"/>
  </r>
  <r>
    <d v="2013-11-19T00:00:00"/>
    <x v="93"/>
    <n v="21.38067345"/>
    <n v="0"/>
    <n v="0.68919054199999996"/>
    <n v="20.4023556"/>
    <n v="13.140368260000001"/>
    <n v="0"/>
    <n v="20.691482908000001"/>
    <n v="21.38067345"/>
    <n v="0.28912730800000119"/>
  </r>
  <r>
    <d v="2013-11-20T00:00:00"/>
    <x v="93"/>
    <n v="20.4023556"/>
    <n v="0"/>
    <n v="1.0130110379999999"/>
    <n v="18.917037109999999"/>
    <n v="12.05490108"/>
    <n v="0"/>
    <n v="19.389344562000002"/>
    <n v="20.4023556"/>
    <n v="0.47230745200000257"/>
  </r>
  <r>
    <d v="2013-11-21T00:00:00"/>
    <x v="93"/>
    <n v="18.917037109999999"/>
    <n v="0"/>
    <n v="1.989106869"/>
    <n v="16.920577430000002"/>
    <n v="13.172275519999999"/>
    <n v="0"/>
    <n v="16.927930240999999"/>
    <n v="18.917037109999999"/>
    <n v="7.3528109999969615E-3"/>
  </r>
  <r>
    <d v="2013-11-22T00:00:00"/>
    <x v="93"/>
    <n v="16.920577430000002"/>
    <n v="0"/>
    <n v="1.8399649170000001"/>
    <n v="15.080439370000001"/>
    <n v="13.14513679"/>
    <n v="0"/>
    <n v="15.080612513000002"/>
    <n v="16.920577430000002"/>
    <n v="1.731430000013745E-4"/>
  </r>
  <r>
    <d v="2013-11-23T00:00:00"/>
    <x v="93"/>
    <n v="15.080439370000001"/>
    <n v="0"/>
    <n v="0.83261359899999998"/>
    <n v="14.247632400000001"/>
    <n v="13.16183959"/>
    <n v="0"/>
    <n v="14.247825771"/>
    <n v="15.080439370000001"/>
    <n v="1.9337099999994223E-4"/>
  </r>
  <r>
    <d v="2013-11-24T00:00:00"/>
    <x v="93"/>
    <n v="14.247632400000001"/>
    <n v="0"/>
    <n v="1.7005947969999999"/>
    <n v="11.9685834"/>
    <n v="13.11444964"/>
    <n v="0"/>
    <n v="12.547037603"/>
    <n v="14.247632400000001"/>
    <n v="0.57845420299999972"/>
  </r>
  <r>
    <d v="2013-11-25T00:00:00"/>
    <x v="94"/>
    <n v="11.9685834"/>
    <n v="23"/>
    <n v="4.4687740399999996"/>
    <n v="28.658457030000001"/>
    <n v="15.20604397"/>
    <n v="1"/>
    <n v="30.49980936"/>
    <n v="34.9685834"/>
    <n v="1.8413523299999994"/>
  </r>
  <r>
    <d v="2013-11-26T00:00:00"/>
    <x v="94"/>
    <n v="28.658457030000001"/>
    <n v="0"/>
    <n v="3.5863669840000001"/>
    <n v="24.806468339999999"/>
    <n v="15.12112434"/>
    <n v="1"/>
    <n v="25.072090046"/>
    <n v="28.658457030000001"/>
    <n v="0.26562170600000101"/>
  </r>
  <r>
    <d v="2013-11-27T00:00:00"/>
    <x v="94"/>
    <n v="24.806468339999999"/>
    <n v="0"/>
    <n v="5.1628204000000002"/>
    <n v="18.73037665"/>
    <n v="15.120341099999999"/>
    <n v="1"/>
    <n v="19.643647939999997"/>
    <n v="24.806468339999999"/>
    <n v="0.91327128999999729"/>
  </r>
  <r>
    <d v="2013-11-28T00:00:00"/>
    <x v="94"/>
    <n v="18.73037665"/>
    <n v="0"/>
    <n v="3.4433169069999998"/>
    <n v="15.10331014"/>
    <n v="15.150316419999999"/>
    <n v="1"/>
    <n v="15.287059743"/>
    <n v="18.73037665"/>
    <n v="0.18374960300000076"/>
  </r>
  <r>
    <d v="2013-11-29T00:00:00"/>
    <x v="95"/>
    <n v="15.10331014"/>
    <n v="23.8"/>
    <n v="8.1045977320000002"/>
    <n v="30.290481700000001"/>
    <n v="14.339861320000001"/>
    <n v="1"/>
    <n v="30.798712408"/>
    <n v="38.903310140000002"/>
    <n v="0.50823070799999925"/>
  </r>
  <r>
    <d v="2013-11-30T00:00:00"/>
    <x v="95"/>
    <n v="30.290481700000001"/>
    <n v="0"/>
    <n v="2.982300204"/>
    <n v="26.965099179999999"/>
    <n v="15.159934679999999"/>
    <n v="0"/>
    <n v="27.308181496"/>
    <n v="30.290481700000001"/>
    <n v="0.34308231600000028"/>
  </r>
  <r>
    <d v="2013-12-01T00:00:00"/>
    <x v="95"/>
    <n v="26.965099179999999"/>
    <n v="0"/>
    <n v="3.4806770550000001"/>
    <n v="23.212544340000001"/>
    <n v="15.145054500000001"/>
    <n v="0"/>
    <n v="23.484422124999998"/>
    <n v="26.965099179999999"/>
    <n v="0.27187778499999737"/>
  </r>
  <r>
    <d v="2013-12-02T00:00:00"/>
    <x v="95"/>
    <n v="23.212544340000001"/>
    <n v="0"/>
    <n v="3.5008864850000001"/>
    <n v="19.54853598"/>
    <n v="15.201680079999999"/>
    <n v="0"/>
    <n v="19.711657855000002"/>
    <n v="23.212544340000001"/>
    <n v="0.16312187500000164"/>
  </r>
  <r>
    <d v="2013-12-03T00:00:00"/>
    <x v="96"/>
    <n v="19.54853598"/>
    <n v="22.8"/>
    <n v="1.725790725"/>
    <n v="40.600469959999998"/>
    <n v="15.197383889999999"/>
    <n v="0"/>
    <n v="40.622745254999998"/>
    <n v="42.348535980000001"/>
    <n v="2.2275295000000028E-2"/>
  </r>
  <r>
    <d v="2013-12-04T00:00:00"/>
    <x v="96"/>
    <n v="40.600469959999998"/>
    <n v="0"/>
    <n v="5.200168551"/>
    <n v="35.39984552"/>
    <n v="13.554804600000001"/>
    <n v="0"/>
    <n v="35.400301409000001"/>
    <n v="40.600469959999998"/>
    <n v="4.5588900000126387E-4"/>
  </r>
  <r>
    <d v="2013-12-05T00:00:00"/>
    <x v="96"/>
    <n v="35.39984552"/>
    <n v="0"/>
    <n v="4.4034451519999998"/>
    <n v="30.940149139999999"/>
    <n v="13.625326380000001"/>
    <n v="0"/>
    <n v="30.996400368"/>
    <n v="35.39984552"/>
    <n v="5.6251228000000708E-2"/>
  </r>
  <r>
    <d v="2013-12-06T00:00:00"/>
    <x v="96"/>
    <n v="30.940149139999999"/>
    <n v="0"/>
    <n v="3.4143362150000001"/>
    <n v="27.525660469999998"/>
    <n v="13.5735058"/>
    <n v="0"/>
    <n v="27.525812925"/>
    <n v="30.940149139999999"/>
    <n v="1.524550000020497E-4"/>
  </r>
  <r>
    <d v="2013-12-07T00:00:00"/>
    <x v="97"/>
    <n v="27.525660469999998"/>
    <n v="4.9000000000000004"/>
    <n v="3.5667819349999998"/>
    <n v="28.85761218"/>
    <n v="13.592171410000001"/>
    <n v="0"/>
    <n v="28.858878534999995"/>
    <n v="32.425660469999997"/>
    <n v="1.2663549999949453E-3"/>
  </r>
  <r>
    <d v="2013-12-08T00:00:00"/>
    <x v="97"/>
    <n v="28.85761218"/>
    <n v="0"/>
    <n v="3.9762762330000001"/>
    <n v="24.608456749999998"/>
    <n v="13.607099180000001"/>
    <n v="0"/>
    <n v="24.881335947"/>
    <n v="28.85761218"/>
    <n v="0.27287919700000174"/>
  </r>
  <r>
    <d v="2013-12-09T00:00:00"/>
    <x v="97"/>
    <n v="24.608456749999998"/>
    <n v="0"/>
    <n v="2.82810417"/>
    <n v="21.222032810000002"/>
    <n v="13.64835199"/>
    <n v="0"/>
    <n v="21.780352579999999"/>
    <n v="24.608456749999998"/>
    <n v="0.55831976999999711"/>
  </r>
  <r>
    <d v="2013-12-10T00:00:00"/>
    <x v="97"/>
    <n v="21.222032810000002"/>
    <n v="0"/>
    <n v="1.530963114"/>
    <n v="19.114010709999999"/>
    <n v="13.597795339999999"/>
    <n v="0"/>
    <n v="19.691069696000003"/>
    <n v="21.222032810000002"/>
    <n v="0.57705898600000438"/>
  </r>
  <r>
    <d v="2013-12-11T00:00:00"/>
    <x v="97"/>
    <n v="19.114010709999999"/>
    <n v="0"/>
    <n v="4.080655922"/>
    <n v="14.740791509999999"/>
    <n v="13.6500623"/>
    <n v="0"/>
    <n v="15.033354787999999"/>
    <n v="19.114010709999999"/>
    <n v="0.29256327799999937"/>
  </r>
  <r>
    <d v="2013-12-12T00:00:00"/>
    <x v="97"/>
    <n v="14.740791509999999"/>
    <n v="0"/>
    <n v="1.1531685970000001"/>
    <n v="13.5825642"/>
    <n v="13.5752583"/>
    <n v="0"/>
    <n v="13.587622912999999"/>
    <n v="14.740791509999999"/>
    <n v="5.0587129999986047E-3"/>
  </r>
  <r>
    <d v="2013-12-13T00:00:00"/>
    <x v="97"/>
    <n v="13.5825642"/>
    <n v="0"/>
    <n v="5.0167685630000003"/>
    <n v="8.0764078940000008"/>
    <n v="13.6248071"/>
    <n v="0"/>
    <n v="8.5657956370000008"/>
    <n v="13.5825642"/>
    <n v="0.48938774299999999"/>
  </r>
  <r>
    <d v="2013-12-14T00:00:00"/>
    <x v="97"/>
    <n v="8.0764078940000008"/>
    <n v="0"/>
    <n v="3.1788524759999999"/>
    <n v="4.896344934"/>
    <n v="12.32046308"/>
    <n v="0"/>
    <n v="4.8975554180000014"/>
    <n v="8.0764078940000008"/>
    <n v="1.2104840000013439E-3"/>
  </r>
  <r>
    <d v="2013-12-15T00:00:00"/>
    <x v="98"/>
    <n v="4.896344934"/>
    <n v="23.8"/>
    <n v="2.630590931"/>
    <n v="25.990243240000002"/>
    <n v="13.60573645"/>
    <n v="0"/>
    <n v="26.065754003000002"/>
    <n v="28.696344934000003"/>
    <n v="7.551076300000048E-2"/>
  </r>
  <r>
    <d v="2013-12-16T00:00:00"/>
    <x v="98"/>
    <n v="25.990243240000002"/>
    <n v="0"/>
    <n v="1.8968742940000001"/>
    <n v="23.456038809999999"/>
    <n v="13.622752070000001"/>
    <n v="0"/>
    <n v="24.093368946000002"/>
    <n v="25.990243240000002"/>
    <n v="0.63733013600000277"/>
  </r>
  <r>
    <d v="2013-12-17T00:00:00"/>
    <x v="99"/>
    <n v="23.456038809999999"/>
    <n v="23.5"/>
    <n v="4.7300080930000004"/>
    <n v="41.586796489999998"/>
    <n v="13.618848529999999"/>
    <n v="0"/>
    <n v="42.226030716999993"/>
    <n v="46.956038809999995"/>
    <n v="0.63923422699999577"/>
  </r>
  <r>
    <d v="2013-12-18T00:00:00"/>
    <x v="99"/>
    <n v="41.586796489999998"/>
    <n v="0"/>
    <n v="2.669628511"/>
    <n v="38.772290460000001"/>
    <n v="13.564502470000001"/>
    <n v="0"/>
    <n v="38.917167978999998"/>
    <n v="41.586796489999998"/>
    <n v="0.14487751899999779"/>
  </r>
  <r>
    <d v="2013-12-19T00:00:00"/>
    <x v="99"/>
    <n v="38.772290460000001"/>
    <n v="0"/>
    <n v="4.0734313440000003"/>
    <n v="34.685594090000002"/>
    <n v="13.56624935"/>
    <n v="0"/>
    <n v="34.698859116000001"/>
    <n v="38.772290460000001"/>
    <n v="1.3265025999999125E-2"/>
  </r>
  <r>
    <d v="2013-12-20T00:00:00"/>
    <x v="99"/>
    <n v="34.685594090000002"/>
    <n v="0"/>
    <n v="6.9590799529999998"/>
    <n v="27.720896740000001"/>
    <n v="13.652135250000001"/>
    <n v="1"/>
    <n v="27.726514137000002"/>
    <n v="34.685594090000002"/>
    <n v="5.6173970000017448E-3"/>
  </r>
  <r>
    <d v="2013-12-21T00:00:00"/>
    <x v="100"/>
    <n v="27.720896740000001"/>
    <n v="23.7"/>
    <n v="6.2277798390000001"/>
    <n v="44.810770529999999"/>
    <n v="13.566660450000001"/>
    <n v="1"/>
    <n v="45.193116901000003"/>
    <n v="51.420896740000003"/>
    <n v="0.38234637100000413"/>
  </r>
  <r>
    <d v="2013-12-22T00:00:00"/>
    <x v="100"/>
    <n v="44.810770529999999"/>
    <n v="0"/>
    <n v="9.2563730750000008"/>
    <n v="35.551790390000001"/>
    <n v="13.55104603"/>
    <n v="1"/>
    <n v="35.554397455"/>
    <n v="44.810770529999999"/>
    <n v="2.6070649999994089E-3"/>
  </r>
  <r>
    <d v="2013-12-23T00:00:00"/>
    <x v="100"/>
    <n v="35.551790390000001"/>
    <n v="0"/>
    <n v="3.353795598"/>
    <n v="31.523579130000002"/>
    <n v="13.605643519999999"/>
    <n v="0"/>
    <n v="32.197994792000003"/>
    <n v="35.551790390000001"/>
    <n v="0.67441566200000125"/>
  </r>
  <r>
    <d v="2013-12-24T00:00:00"/>
    <x v="100"/>
    <n v="31.523579130000002"/>
    <n v="0"/>
    <n v="3.6382725539999998"/>
    <n v="27.881393679999999"/>
    <n v="13.63621483"/>
    <n v="0"/>
    <n v="27.885306576000001"/>
    <n v="31.523579130000002"/>
    <n v="3.9128960000027746E-3"/>
  </r>
  <r>
    <d v="2013-12-25T00:00:00"/>
    <x v="101"/>
    <n v="27.881393679999999"/>
    <n v="22.8"/>
    <n v="4.1799073179999997"/>
    <n v="46.43260274"/>
    <n v="13.612235370000001"/>
    <n v="0"/>
    <n v="46.501486362000001"/>
    <n v="50.681393679999999"/>
    <n v="6.888362200000131E-2"/>
  </r>
  <r>
    <d v="2013-12-26T00:00:00"/>
    <x v="101"/>
    <n v="46.43260274"/>
    <n v="0"/>
    <n v="2.5351819990000002"/>
    <n v="43.870348249999999"/>
    <n v="13.566506929999999"/>
    <n v="0"/>
    <n v="43.897420740999998"/>
    <n v="46.43260274"/>
    <n v="2.7072490999998422E-2"/>
  </r>
  <r>
    <d v="2013-12-27T00:00:00"/>
    <x v="101"/>
    <n v="43.870348249999999"/>
    <n v="0"/>
    <n v="2.8874960019999998"/>
    <n v="39.531290050000003"/>
    <n v="12.48515692"/>
    <n v="0"/>
    <n v="40.982852248"/>
    <n v="43.870348249999999"/>
    <n v="1.4515621979999977"/>
  </r>
  <r>
    <d v="2013-12-28T00:00:00"/>
    <x v="101"/>
    <n v="39.531290050000003"/>
    <n v="0"/>
    <n v="2.8133479139999999"/>
    <n v="36.012374970000003"/>
    <n v="13.954109020000001"/>
    <n v="0"/>
    <n v="36.717942136000005"/>
    <n v="39.531290050000003"/>
    <n v="0.70556716600000158"/>
  </r>
  <r>
    <d v="2013-12-29T00:00:00"/>
    <x v="101"/>
    <n v="36.012374970000003"/>
    <n v="0"/>
    <n v="2.6495438569999998"/>
    <n v="33.129278669999998"/>
    <n v="14.01290455"/>
    <n v="0"/>
    <n v="33.362831113000006"/>
    <n v="36.012374970000003"/>
    <n v="0.23355244300000777"/>
  </r>
  <r>
    <d v="2013-12-30T00:00:00"/>
    <x v="101"/>
    <n v="33.129278669999998"/>
    <n v="0"/>
    <n v="4.0138088119999997"/>
    <n v="28.947812590000002"/>
    <n v="13.928658909999999"/>
    <n v="0"/>
    <n v="29.115469857999997"/>
    <n v="33.129278669999998"/>
    <n v="0.1676572679999957"/>
  </r>
  <r>
    <d v="2013-12-31T00:00:00"/>
    <x v="101"/>
    <n v="28.947812590000002"/>
    <n v="0"/>
    <n v="1.847838402"/>
    <n v="25.637969120000001"/>
    <n v="13.997917429999999"/>
    <n v="0"/>
    <n v="27.099974188000001"/>
    <n v="28.947812590000002"/>
    <n v="1.4620050679999999"/>
  </r>
  <r>
    <m/>
    <x v="102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08C3C8-D0EC-3F40-AED0-F26497659B1C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D105" firstHeaderRow="0" firstDataRow="1" firstDataCol="1"/>
  <pivotFields count="11">
    <pivotField showAll="0"/>
    <pivotField axis="axisRow" dataField="1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ax of BeginStockQty" fld="2" subtotal="max" baseField="0" baseItem="0"/>
    <dataField name="Sum of Loss" fld="10" baseField="0" baseItem="0"/>
    <dataField name="Count of Period" fld="1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66"/>
  <sheetViews>
    <sheetView workbookViewId="0">
      <selection activeCell="K2" sqref="K2:K8"/>
    </sheetView>
  </sheetViews>
  <sheetFormatPr baseColWidth="10" defaultRowHeight="16" x14ac:dyDescent="0.2"/>
  <cols>
    <col min="2" max="2" width="10.83203125" style="2"/>
    <col min="7" max="8" width="0" hidden="1" customWidth="1"/>
    <col min="9" max="9" width="17.5" customWidth="1"/>
    <col min="10" max="10" width="29.83203125" customWidth="1"/>
    <col min="13" max="13" width="8.33203125" bestFit="1" customWidth="1"/>
  </cols>
  <sheetData>
    <row r="1" spans="1:18" x14ac:dyDescent="0.2">
      <c r="A1" t="s">
        <v>0</v>
      </c>
      <c r="B1" s="2" t="s">
        <v>14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11</v>
      </c>
      <c r="J1" t="s">
        <v>12</v>
      </c>
      <c r="K1" t="s">
        <v>7</v>
      </c>
      <c r="N1" t="s">
        <v>13</v>
      </c>
      <c r="R1">
        <f>AVERAGE(P:P)</f>
        <v>1.4131374790277306E-2</v>
      </c>
    </row>
    <row r="2" spans="1:18" x14ac:dyDescent="0.2">
      <c r="A2" s="1">
        <v>41275</v>
      </c>
      <c r="B2" s="2">
        <v>1</v>
      </c>
      <c r="C2">
        <v>28.362150790000001</v>
      </c>
      <c r="D2">
        <v>0</v>
      </c>
      <c r="E2">
        <v>2.4326272929999999</v>
      </c>
      <c r="F2">
        <v>25.881052189999998</v>
      </c>
      <c r="G2">
        <v>6.2585092089999996</v>
      </c>
      <c r="H2">
        <v>0</v>
      </c>
      <c r="I2">
        <f>C2+D2-E2</f>
        <v>25.929523497000002</v>
      </c>
      <c r="J2">
        <f>C2+D2</f>
        <v>28.362150790000001</v>
      </c>
      <c r="K2">
        <f>I2-F2</f>
        <v>4.847130700000335E-2</v>
      </c>
      <c r="L2" t="s">
        <v>8</v>
      </c>
      <c r="M2">
        <f>SUM(K:K)/SUM(I:I)</f>
        <v>1.2157337896822893E-2</v>
      </c>
      <c r="N2">
        <f>SUM(K:K)/SUM(J:J)</f>
        <v>1.0339744130712435E-2</v>
      </c>
      <c r="P2">
        <f>K2/I2</f>
        <v>1.8693481585040077E-3</v>
      </c>
      <c r="Q2">
        <f>K2/J2</f>
        <v>1.7090137965521813E-3</v>
      </c>
      <c r="R2">
        <f>MEDIAN(P:P)</f>
        <v>5.3390214736812238E-3</v>
      </c>
    </row>
    <row r="3" spans="1:18" x14ac:dyDescent="0.2">
      <c r="A3" s="1">
        <v>41276</v>
      </c>
      <c r="B3" s="2">
        <f>IF(D3&gt;0,B2+1,B2)</f>
        <v>1</v>
      </c>
      <c r="C3">
        <v>25.881052189999998</v>
      </c>
      <c r="D3">
        <v>0</v>
      </c>
      <c r="E3">
        <v>4.2733658879999998</v>
      </c>
      <c r="F3">
        <v>19.303865720000001</v>
      </c>
      <c r="G3">
        <v>5.8628262089999996</v>
      </c>
      <c r="H3">
        <v>0</v>
      </c>
      <c r="I3">
        <f>C3+D3-E3</f>
        <v>21.607686301999998</v>
      </c>
      <c r="J3">
        <f t="shared" ref="J3:J66" si="0">C3+D3</f>
        <v>25.881052189999998</v>
      </c>
      <c r="K3">
        <f t="shared" ref="K3:K65" si="1">I3-F3</f>
        <v>2.3038205819999966</v>
      </c>
      <c r="L3" t="s">
        <v>9</v>
      </c>
      <c r="M3">
        <f>AVERAGE(E:E)</f>
        <v>3.2503428592301358</v>
      </c>
      <c r="P3">
        <f t="shared" ref="P3:P65" si="2">K3/I3</f>
        <v>0.10662041968772733</v>
      </c>
      <c r="Q3">
        <f t="shared" ref="Q3:Q66" si="3">K3/J3</f>
        <v>8.9015723359584048E-2</v>
      </c>
    </row>
    <row r="4" spans="1:18" x14ac:dyDescent="0.2">
      <c r="A4" s="1">
        <v>41277</v>
      </c>
      <c r="B4" s="2">
        <f t="shared" ref="B4:B67" si="4">IF(D4&gt;0,B3+1,B3)</f>
        <v>1</v>
      </c>
      <c r="C4">
        <v>19.303865720000001</v>
      </c>
      <c r="D4">
        <v>0</v>
      </c>
      <c r="E4">
        <v>3.9495427049999998</v>
      </c>
      <c r="F4">
        <v>14.929142710000001</v>
      </c>
      <c r="G4">
        <v>6.6823200070000004</v>
      </c>
      <c r="H4">
        <v>0</v>
      </c>
      <c r="I4">
        <f t="shared" ref="I4:I65" si="5">C4+D4-E4</f>
        <v>15.354323015000002</v>
      </c>
      <c r="J4">
        <f t="shared" si="0"/>
        <v>19.303865720000001</v>
      </c>
      <c r="K4">
        <f t="shared" si="1"/>
        <v>0.42518030500000137</v>
      </c>
      <c r="L4" t="s">
        <v>10</v>
      </c>
      <c r="M4">
        <f>STDEV(E:E)</f>
        <v>1.8487007101969124</v>
      </c>
      <c r="P4">
        <f t="shared" si="2"/>
        <v>2.769124399588524E-2</v>
      </c>
      <c r="Q4">
        <f t="shared" si="3"/>
        <v>2.2025655957577876E-2</v>
      </c>
    </row>
    <row r="5" spans="1:18" x14ac:dyDescent="0.2">
      <c r="A5" s="1">
        <v>41278</v>
      </c>
      <c r="B5" s="2">
        <f t="shared" si="4"/>
        <v>1</v>
      </c>
      <c r="C5">
        <v>14.929142710000001</v>
      </c>
      <c r="D5">
        <v>0</v>
      </c>
      <c r="E5">
        <v>3.4605390429999998</v>
      </c>
      <c r="F5">
        <v>11.127760179999999</v>
      </c>
      <c r="G5">
        <v>5.1488433540000003</v>
      </c>
      <c r="H5">
        <v>0</v>
      </c>
      <c r="I5">
        <f t="shared" si="5"/>
        <v>11.468603667</v>
      </c>
      <c r="J5">
        <f t="shared" si="0"/>
        <v>14.929142710000001</v>
      </c>
      <c r="K5">
        <f t="shared" si="1"/>
        <v>0.34084348700000078</v>
      </c>
      <c r="P5">
        <f t="shared" si="2"/>
        <v>2.9719702319189124E-2</v>
      </c>
      <c r="Q5">
        <f t="shared" si="3"/>
        <v>2.2830747459577385E-2</v>
      </c>
    </row>
    <row r="6" spans="1:18" x14ac:dyDescent="0.2">
      <c r="A6" s="1">
        <v>41279</v>
      </c>
      <c r="B6" s="2">
        <f t="shared" si="4"/>
        <v>1</v>
      </c>
      <c r="C6">
        <v>11.127760179999999</v>
      </c>
      <c r="D6">
        <v>0</v>
      </c>
      <c r="E6">
        <v>3.0430254780000001</v>
      </c>
      <c r="F6">
        <v>8.0727017859999997</v>
      </c>
      <c r="G6">
        <v>6.1214076000000004</v>
      </c>
      <c r="H6">
        <v>0</v>
      </c>
      <c r="I6">
        <f t="shared" si="5"/>
        <v>8.0847347019999987</v>
      </c>
      <c r="J6">
        <f t="shared" si="0"/>
        <v>11.127760179999999</v>
      </c>
      <c r="K6">
        <f t="shared" si="1"/>
        <v>1.2032915999999005E-2</v>
      </c>
      <c r="P6">
        <f t="shared" si="2"/>
        <v>1.4883501368353259E-3</v>
      </c>
      <c r="Q6">
        <f t="shared" si="3"/>
        <v>1.0813421394204603E-3</v>
      </c>
    </row>
    <row r="7" spans="1:18" x14ac:dyDescent="0.2">
      <c r="A7" s="1">
        <v>41280</v>
      </c>
      <c r="B7" s="2">
        <f t="shared" si="4"/>
        <v>1</v>
      </c>
      <c r="C7">
        <v>8.0727017859999997</v>
      </c>
      <c r="D7">
        <v>0</v>
      </c>
      <c r="E7">
        <v>3.2865184580000002</v>
      </c>
      <c r="F7">
        <v>4.7520035710000004</v>
      </c>
      <c r="G7">
        <v>4.8768588350000002</v>
      </c>
      <c r="H7">
        <v>0</v>
      </c>
      <c r="I7">
        <f t="shared" si="5"/>
        <v>4.7861833279999999</v>
      </c>
      <c r="J7">
        <f t="shared" si="0"/>
        <v>8.0727017859999997</v>
      </c>
      <c r="K7">
        <f t="shared" si="1"/>
        <v>3.4179756999999533E-2</v>
      </c>
      <c r="P7">
        <f t="shared" si="2"/>
        <v>7.1413388618112566E-3</v>
      </c>
      <c r="Q7">
        <f t="shared" si="3"/>
        <v>4.233992274962445E-3</v>
      </c>
    </row>
    <row r="8" spans="1:18" x14ac:dyDescent="0.2">
      <c r="A8" s="1">
        <v>41281</v>
      </c>
      <c r="B8" s="2">
        <f t="shared" si="4"/>
        <v>2</v>
      </c>
      <c r="C8">
        <v>4.7520035710000004</v>
      </c>
      <c r="D8">
        <v>4.7</v>
      </c>
      <c r="E8">
        <v>3.5560864780000001</v>
      </c>
      <c r="F8">
        <v>5.8595306479999998</v>
      </c>
      <c r="G8">
        <v>7.38076518</v>
      </c>
      <c r="H8">
        <v>0</v>
      </c>
      <c r="I8">
        <f t="shared" si="5"/>
        <v>5.8959170930000004</v>
      </c>
      <c r="J8">
        <f t="shared" si="0"/>
        <v>9.4520035710000005</v>
      </c>
      <c r="K8">
        <f t="shared" si="1"/>
        <v>3.6386445000000656E-2</v>
      </c>
      <c r="P8">
        <f t="shared" si="2"/>
        <v>6.1714648333845989E-3</v>
      </c>
      <c r="Q8">
        <f t="shared" si="3"/>
        <v>3.8496012751877379E-3</v>
      </c>
    </row>
    <row r="9" spans="1:18" x14ac:dyDescent="0.2">
      <c r="A9" s="1">
        <v>41282</v>
      </c>
      <c r="B9" s="2">
        <f t="shared" si="4"/>
        <v>2</v>
      </c>
      <c r="C9">
        <v>5.8595306479999998</v>
      </c>
      <c r="D9">
        <v>0</v>
      </c>
      <c r="E9">
        <v>2.8517199350000002</v>
      </c>
      <c r="F9">
        <v>2.9986823490000001</v>
      </c>
      <c r="G9">
        <v>7.1194814959999997</v>
      </c>
      <c r="H9">
        <v>0</v>
      </c>
      <c r="I9">
        <f t="shared" si="5"/>
        <v>3.0078107129999996</v>
      </c>
      <c r="J9">
        <f t="shared" si="0"/>
        <v>5.8595306479999998</v>
      </c>
      <c r="K9">
        <f t="shared" si="1"/>
        <v>9.1283639999995003E-3</v>
      </c>
      <c r="P9">
        <f t="shared" si="2"/>
        <v>3.0348864576304545E-3</v>
      </c>
      <c r="Q9">
        <f t="shared" si="3"/>
        <v>1.5578660729618733E-3</v>
      </c>
    </row>
    <row r="10" spans="1:18" x14ac:dyDescent="0.2">
      <c r="A10" s="1">
        <v>41283</v>
      </c>
      <c r="B10" s="2">
        <f t="shared" si="4"/>
        <v>2</v>
      </c>
      <c r="C10">
        <v>2.9986823490000001</v>
      </c>
      <c r="D10">
        <v>0</v>
      </c>
      <c r="E10">
        <v>0.57471355300000004</v>
      </c>
      <c r="F10">
        <v>2.3580341069999999</v>
      </c>
      <c r="G10">
        <v>7.0891299490000002</v>
      </c>
      <c r="H10">
        <v>0</v>
      </c>
      <c r="I10">
        <f t="shared" si="5"/>
        <v>2.423968796</v>
      </c>
      <c r="J10">
        <f t="shared" si="0"/>
        <v>2.9986823490000001</v>
      </c>
      <c r="K10">
        <f t="shared" si="1"/>
        <v>6.5934689000000102E-2</v>
      </c>
      <c r="P10">
        <f t="shared" si="2"/>
        <v>2.7201129448862799E-2</v>
      </c>
      <c r="Q10">
        <f t="shared" si="3"/>
        <v>2.1987887120484096E-2</v>
      </c>
    </row>
    <row r="11" spans="1:18" x14ac:dyDescent="0.2">
      <c r="A11" s="1">
        <v>41284</v>
      </c>
      <c r="B11" s="2">
        <f t="shared" si="4"/>
        <v>2</v>
      </c>
      <c r="C11">
        <v>2.3580341069999999</v>
      </c>
      <c r="D11">
        <v>0</v>
      </c>
      <c r="E11">
        <v>2.3161748160000002</v>
      </c>
      <c r="F11">
        <v>3.3262123999999997E-2</v>
      </c>
      <c r="G11">
        <v>6.6638185400000003</v>
      </c>
      <c r="H11">
        <v>0</v>
      </c>
      <c r="I11">
        <f t="shared" si="5"/>
        <v>4.1859290999999743E-2</v>
      </c>
      <c r="J11">
        <f t="shared" si="0"/>
        <v>2.3580341069999999</v>
      </c>
      <c r="K11">
        <f t="shared" si="1"/>
        <v>8.597166999999746E-3</v>
      </c>
      <c r="P11">
        <f t="shared" si="2"/>
        <v>0.20538252785981967</v>
      </c>
      <c r="Q11">
        <f t="shared" si="3"/>
        <v>3.6459044313559398E-3</v>
      </c>
    </row>
    <row r="12" spans="1:18" x14ac:dyDescent="0.2">
      <c r="A12" s="1">
        <v>41285</v>
      </c>
      <c r="B12" s="2">
        <f t="shared" si="4"/>
        <v>3</v>
      </c>
      <c r="C12">
        <v>3.3262123999999997E-2</v>
      </c>
      <c r="D12">
        <v>24.4</v>
      </c>
      <c r="E12">
        <v>4.7236360499999996</v>
      </c>
      <c r="F12">
        <v>19.287140910000002</v>
      </c>
      <c r="G12">
        <v>5.8489184959999996</v>
      </c>
      <c r="H12">
        <v>0</v>
      </c>
      <c r="I12">
        <f t="shared" si="5"/>
        <v>19.709626073999999</v>
      </c>
      <c r="J12">
        <f t="shared" si="0"/>
        <v>24.433262123999999</v>
      </c>
      <c r="K12">
        <f t="shared" si="1"/>
        <v>0.42248516399999758</v>
      </c>
      <c r="P12">
        <f t="shared" si="2"/>
        <v>2.1435473327285487E-2</v>
      </c>
      <c r="Q12">
        <f t="shared" si="3"/>
        <v>1.7291394078116328E-2</v>
      </c>
    </row>
    <row r="13" spans="1:18" x14ac:dyDescent="0.2">
      <c r="A13" s="1">
        <v>41286</v>
      </c>
      <c r="B13" s="2">
        <f t="shared" si="4"/>
        <v>3</v>
      </c>
      <c r="C13">
        <v>19.287140910000002</v>
      </c>
      <c r="D13">
        <v>0</v>
      </c>
      <c r="E13">
        <v>4.9826323869999998</v>
      </c>
      <c r="F13">
        <v>14.301608310000001</v>
      </c>
      <c r="G13">
        <v>5.9785161740000001</v>
      </c>
      <c r="H13">
        <v>0</v>
      </c>
      <c r="I13">
        <f t="shared" si="5"/>
        <v>14.304508523000003</v>
      </c>
      <c r="J13">
        <f t="shared" si="0"/>
        <v>19.287140910000002</v>
      </c>
      <c r="K13">
        <f t="shared" si="1"/>
        <v>2.9002130000019832E-3</v>
      </c>
      <c r="P13">
        <f t="shared" si="2"/>
        <v>2.0274817518817754E-4</v>
      </c>
      <c r="Q13">
        <f t="shared" si="3"/>
        <v>1.5037029145663989E-4</v>
      </c>
    </row>
    <row r="14" spans="1:18" x14ac:dyDescent="0.2">
      <c r="A14" s="1">
        <v>41287</v>
      </c>
      <c r="B14" s="2">
        <f t="shared" si="4"/>
        <v>3</v>
      </c>
      <c r="C14">
        <v>14.301608310000001</v>
      </c>
      <c r="D14">
        <v>0</v>
      </c>
      <c r="E14">
        <v>4.2931267670000004</v>
      </c>
      <c r="F14">
        <v>9.5991907669999996</v>
      </c>
      <c r="G14">
        <v>6.9469976710000001</v>
      </c>
      <c r="H14">
        <v>0</v>
      </c>
      <c r="I14">
        <f t="shared" si="5"/>
        <v>10.008481543</v>
      </c>
      <c r="J14">
        <f t="shared" si="0"/>
        <v>14.301608310000001</v>
      </c>
      <c r="K14">
        <f t="shared" si="1"/>
        <v>0.40929077600000063</v>
      </c>
      <c r="P14">
        <f t="shared" si="2"/>
        <v>4.0894392844862799E-2</v>
      </c>
      <c r="Q14">
        <f t="shared" si="3"/>
        <v>2.8618513885170206E-2</v>
      </c>
    </row>
    <row r="15" spans="1:18" x14ac:dyDescent="0.2">
      <c r="A15" s="1">
        <v>41288</v>
      </c>
      <c r="B15" s="2">
        <f t="shared" si="4"/>
        <v>3</v>
      </c>
      <c r="C15">
        <v>9.5991907669999996</v>
      </c>
      <c r="D15">
        <v>0</v>
      </c>
      <c r="E15">
        <v>3.026662934</v>
      </c>
      <c r="F15">
        <v>6.4653166950000003</v>
      </c>
      <c r="G15">
        <v>5.9852000800000003</v>
      </c>
      <c r="H15">
        <v>0</v>
      </c>
      <c r="I15">
        <f t="shared" si="5"/>
        <v>6.5725278329999997</v>
      </c>
      <c r="J15">
        <f t="shared" si="0"/>
        <v>9.5991907669999996</v>
      </c>
      <c r="K15">
        <f t="shared" si="1"/>
        <v>0.10721113799999937</v>
      </c>
      <c r="P15">
        <f t="shared" si="2"/>
        <v>1.6312009735691503E-2</v>
      </c>
      <c r="Q15">
        <f t="shared" si="3"/>
        <v>1.11687683474912E-2</v>
      </c>
    </row>
    <row r="16" spans="1:18" x14ac:dyDescent="0.2">
      <c r="A16" s="1">
        <v>41289</v>
      </c>
      <c r="B16" s="2">
        <f t="shared" si="4"/>
        <v>3</v>
      </c>
      <c r="C16">
        <v>6.4653166950000003</v>
      </c>
      <c r="D16">
        <v>0</v>
      </c>
      <c r="E16">
        <v>2.3240876699999999</v>
      </c>
      <c r="F16">
        <v>4.1039811610000001</v>
      </c>
      <c r="G16">
        <v>6.2842471819999997</v>
      </c>
      <c r="H16">
        <v>0</v>
      </c>
      <c r="I16">
        <f t="shared" si="5"/>
        <v>4.1412290250000003</v>
      </c>
      <c r="J16">
        <f t="shared" si="0"/>
        <v>6.4653166950000003</v>
      </c>
      <c r="K16">
        <f t="shared" si="1"/>
        <v>3.7247864000000241E-2</v>
      </c>
      <c r="P16">
        <f t="shared" si="2"/>
        <v>8.9943984684595513E-3</v>
      </c>
      <c r="Q16">
        <f t="shared" si="3"/>
        <v>5.761181664744458E-3</v>
      </c>
    </row>
    <row r="17" spans="1:17" x14ac:dyDescent="0.2">
      <c r="A17" s="1">
        <v>41290</v>
      </c>
      <c r="B17" s="2">
        <f t="shared" si="4"/>
        <v>3</v>
      </c>
      <c r="C17">
        <v>4.1039811610000001</v>
      </c>
      <c r="D17">
        <v>0</v>
      </c>
      <c r="E17">
        <v>1.6213544150000001</v>
      </c>
      <c r="F17">
        <v>2.479310881</v>
      </c>
      <c r="G17">
        <v>6.3591323810000002</v>
      </c>
      <c r="H17">
        <v>0</v>
      </c>
      <c r="I17">
        <f t="shared" si="5"/>
        <v>2.4826267460000002</v>
      </c>
      <c r="J17">
        <f t="shared" si="0"/>
        <v>4.1039811610000001</v>
      </c>
      <c r="K17">
        <f t="shared" si="1"/>
        <v>3.315865000000251E-3</v>
      </c>
      <c r="P17">
        <f t="shared" si="2"/>
        <v>1.3356276795707456E-3</v>
      </c>
      <c r="Q17">
        <f t="shared" si="3"/>
        <v>8.0796301686538146E-4</v>
      </c>
    </row>
    <row r="18" spans="1:17" x14ac:dyDescent="0.2">
      <c r="A18" s="1">
        <v>41291</v>
      </c>
      <c r="B18" s="2">
        <f t="shared" si="4"/>
        <v>4</v>
      </c>
      <c r="C18">
        <v>2.479310881</v>
      </c>
      <c r="D18">
        <v>20.6</v>
      </c>
      <c r="E18">
        <v>2.6110268130000001</v>
      </c>
      <c r="F18">
        <v>20.268358490000001</v>
      </c>
      <c r="G18">
        <v>6.4964946179999998</v>
      </c>
      <c r="H18">
        <v>0</v>
      </c>
      <c r="I18">
        <f t="shared" si="5"/>
        <v>20.468284068000003</v>
      </c>
      <c r="J18">
        <f t="shared" si="0"/>
        <v>23.079310881000001</v>
      </c>
      <c r="K18">
        <f t="shared" si="1"/>
        <v>0.19992557800000199</v>
      </c>
      <c r="P18">
        <f t="shared" si="2"/>
        <v>9.7675788227194141E-3</v>
      </c>
      <c r="Q18">
        <f t="shared" si="3"/>
        <v>8.6625453866818157E-3</v>
      </c>
    </row>
    <row r="19" spans="1:17" x14ac:dyDescent="0.2">
      <c r="A19" s="1">
        <v>41292</v>
      </c>
      <c r="B19" s="2">
        <f t="shared" si="4"/>
        <v>4</v>
      </c>
      <c r="C19">
        <v>20.268358490000001</v>
      </c>
      <c r="D19">
        <v>0</v>
      </c>
      <c r="E19">
        <v>2.6318540129999999</v>
      </c>
      <c r="F19">
        <v>17.27785544</v>
      </c>
      <c r="G19">
        <v>7.4140671359999999</v>
      </c>
      <c r="H19">
        <v>0</v>
      </c>
      <c r="I19">
        <f t="shared" si="5"/>
        <v>17.636504477000003</v>
      </c>
      <c r="J19">
        <f t="shared" si="0"/>
        <v>20.268358490000001</v>
      </c>
      <c r="K19">
        <f t="shared" si="1"/>
        <v>0.35864903700000283</v>
      </c>
      <c r="P19">
        <f t="shared" si="2"/>
        <v>2.0335607742890421E-2</v>
      </c>
      <c r="Q19">
        <f t="shared" si="3"/>
        <v>1.7695021388976964E-2</v>
      </c>
    </row>
    <row r="20" spans="1:17" x14ac:dyDescent="0.2">
      <c r="A20" s="1">
        <v>41293</v>
      </c>
      <c r="B20" s="2">
        <f t="shared" si="4"/>
        <v>4</v>
      </c>
      <c r="C20">
        <v>17.27785544</v>
      </c>
      <c r="D20">
        <v>0</v>
      </c>
      <c r="E20">
        <v>1.493184804</v>
      </c>
      <c r="F20">
        <v>15.641415820000001</v>
      </c>
      <c r="G20">
        <v>7.2098460109999998</v>
      </c>
      <c r="H20">
        <v>0</v>
      </c>
      <c r="I20">
        <f t="shared" si="5"/>
        <v>15.784670636</v>
      </c>
      <c r="J20">
        <f t="shared" si="0"/>
        <v>17.27785544</v>
      </c>
      <c r="K20">
        <f t="shared" si="1"/>
        <v>0.1432548159999989</v>
      </c>
      <c r="P20">
        <f t="shared" si="2"/>
        <v>9.0755657373856463E-3</v>
      </c>
      <c r="Q20">
        <f t="shared" si="3"/>
        <v>8.2912382556662306E-3</v>
      </c>
    </row>
    <row r="21" spans="1:17" x14ac:dyDescent="0.2">
      <c r="A21" s="1">
        <v>41294</v>
      </c>
      <c r="B21" s="2">
        <f t="shared" si="4"/>
        <v>4</v>
      </c>
      <c r="C21">
        <v>15.641415820000001</v>
      </c>
      <c r="D21">
        <v>0</v>
      </c>
      <c r="E21">
        <v>2.8919918870000001</v>
      </c>
      <c r="F21">
        <v>12.51787504</v>
      </c>
      <c r="G21">
        <v>7.5868389509999998</v>
      </c>
      <c r="H21">
        <v>0</v>
      </c>
      <c r="I21">
        <f t="shared" si="5"/>
        <v>12.749423933000001</v>
      </c>
      <c r="J21">
        <f t="shared" si="0"/>
        <v>15.641415820000001</v>
      </c>
      <c r="K21">
        <f t="shared" si="1"/>
        <v>0.23154889300000114</v>
      </c>
      <c r="P21">
        <f t="shared" si="2"/>
        <v>1.8161518058919589E-2</v>
      </c>
      <c r="Q21">
        <f t="shared" si="3"/>
        <v>1.4803576329959186E-2</v>
      </c>
    </row>
    <row r="22" spans="1:17" x14ac:dyDescent="0.2">
      <c r="A22" s="1">
        <v>41295</v>
      </c>
      <c r="B22" s="2">
        <f t="shared" si="4"/>
        <v>4</v>
      </c>
      <c r="C22">
        <v>12.51787504</v>
      </c>
      <c r="D22">
        <v>0</v>
      </c>
      <c r="E22">
        <v>2.254207042</v>
      </c>
      <c r="F22">
        <v>10.263630790000001</v>
      </c>
      <c r="G22">
        <v>7.4706106300000004</v>
      </c>
      <c r="H22">
        <v>0</v>
      </c>
      <c r="I22">
        <f t="shared" si="5"/>
        <v>10.263667997999999</v>
      </c>
      <c r="J22">
        <f t="shared" si="0"/>
        <v>12.51787504</v>
      </c>
      <c r="K22">
        <f t="shared" si="1"/>
        <v>3.7207999998400965E-5</v>
      </c>
      <c r="P22">
        <f t="shared" si="2"/>
        <v>3.6252146898800116E-6</v>
      </c>
      <c r="Q22">
        <f t="shared" si="3"/>
        <v>2.9723894734134499E-6</v>
      </c>
    </row>
    <row r="23" spans="1:17" x14ac:dyDescent="0.2">
      <c r="A23" s="1">
        <v>41296</v>
      </c>
      <c r="B23" s="2">
        <f t="shared" si="4"/>
        <v>4</v>
      </c>
      <c r="C23">
        <v>10.263630790000001</v>
      </c>
      <c r="D23">
        <v>0</v>
      </c>
      <c r="E23">
        <v>1.782996794</v>
      </c>
      <c r="F23">
        <v>8.4739202549999995</v>
      </c>
      <c r="G23">
        <v>7.5326745859999997</v>
      </c>
      <c r="H23">
        <v>0</v>
      </c>
      <c r="I23">
        <f t="shared" si="5"/>
        <v>8.4806339959999999</v>
      </c>
      <c r="J23">
        <f t="shared" si="0"/>
        <v>10.263630790000001</v>
      </c>
      <c r="K23">
        <f t="shared" si="1"/>
        <v>6.7137410000004394E-3</v>
      </c>
      <c r="P23">
        <f t="shared" si="2"/>
        <v>7.9165555348421608E-4</v>
      </c>
      <c r="Q23">
        <f t="shared" si="3"/>
        <v>6.541292391910406E-4</v>
      </c>
    </row>
    <row r="24" spans="1:17" x14ac:dyDescent="0.2">
      <c r="A24" s="1">
        <v>41297</v>
      </c>
      <c r="B24" s="2">
        <f t="shared" si="4"/>
        <v>5</v>
      </c>
      <c r="C24">
        <v>8.4739202549999995</v>
      </c>
      <c r="D24">
        <v>19.600000000000001</v>
      </c>
      <c r="E24">
        <v>2.9549976650000001</v>
      </c>
      <c r="F24">
        <v>24.757358060000001</v>
      </c>
      <c r="G24">
        <v>7.3756634559999998</v>
      </c>
      <c r="H24">
        <v>0</v>
      </c>
      <c r="I24">
        <f t="shared" si="5"/>
        <v>25.11892259</v>
      </c>
      <c r="J24">
        <f t="shared" si="0"/>
        <v>28.073920255000001</v>
      </c>
      <c r="K24">
        <f t="shared" si="1"/>
        <v>0.361564529999999</v>
      </c>
      <c r="P24">
        <f t="shared" si="2"/>
        <v>1.4394109807239109E-2</v>
      </c>
      <c r="Q24">
        <f t="shared" si="3"/>
        <v>1.2879018203223822E-2</v>
      </c>
    </row>
    <row r="25" spans="1:17" x14ac:dyDescent="0.2">
      <c r="A25" s="1">
        <v>41298</v>
      </c>
      <c r="B25" s="2">
        <f t="shared" si="4"/>
        <v>5</v>
      </c>
      <c r="C25">
        <v>24.757358060000001</v>
      </c>
      <c r="D25">
        <v>0</v>
      </c>
      <c r="E25">
        <v>1.868514883</v>
      </c>
      <c r="F25">
        <v>22.884012819999999</v>
      </c>
      <c r="G25">
        <v>7.1743965520000001</v>
      </c>
      <c r="H25">
        <v>0</v>
      </c>
      <c r="I25">
        <f t="shared" si="5"/>
        <v>22.888843177000002</v>
      </c>
      <c r="J25">
        <f t="shared" si="0"/>
        <v>24.757358060000001</v>
      </c>
      <c r="K25">
        <f t="shared" si="1"/>
        <v>4.8303570000030049E-3</v>
      </c>
      <c r="P25">
        <f t="shared" si="2"/>
        <v>2.1103543602661489E-4</v>
      </c>
      <c r="Q25">
        <f t="shared" si="3"/>
        <v>1.9510793471163315E-4</v>
      </c>
    </row>
    <row r="26" spans="1:17" x14ac:dyDescent="0.2">
      <c r="A26" s="1">
        <v>41299</v>
      </c>
      <c r="B26" s="2">
        <f t="shared" si="4"/>
        <v>5</v>
      </c>
      <c r="C26">
        <v>22.884012819999999</v>
      </c>
      <c r="D26">
        <v>0</v>
      </c>
      <c r="E26">
        <v>2.272890538</v>
      </c>
      <c r="F26">
        <v>19.8215276</v>
      </c>
      <c r="G26">
        <v>7.500333715</v>
      </c>
      <c r="H26">
        <v>0</v>
      </c>
      <c r="I26">
        <f t="shared" si="5"/>
        <v>20.611122282</v>
      </c>
      <c r="J26">
        <f t="shared" si="0"/>
        <v>22.884012819999999</v>
      </c>
      <c r="K26">
        <f t="shared" si="1"/>
        <v>0.7895946820000006</v>
      </c>
      <c r="P26">
        <f t="shared" si="2"/>
        <v>3.8309155183149118E-2</v>
      </c>
      <c r="Q26">
        <f t="shared" si="3"/>
        <v>3.4504205543440199E-2</v>
      </c>
    </row>
    <row r="27" spans="1:17" x14ac:dyDescent="0.2">
      <c r="A27" s="1">
        <v>41300</v>
      </c>
      <c r="B27" s="2">
        <f t="shared" si="4"/>
        <v>5</v>
      </c>
      <c r="C27">
        <v>19.8215276</v>
      </c>
      <c r="D27">
        <v>0</v>
      </c>
      <c r="E27">
        <v>2.0048549759999998</v>
      </c>
      <c r="F27">
        <v>17.538126999999999</v>
      </c>
      <c r="G27">
        <v>7.6422529199999998</v>
      </c>
      <c r="H27">
        <v>0</v>
      </c>
      <c r="I27">
        <f t="shared" si="5"/>
        <v>17.816672623999999</v>
      </c>
      <c r="J27">
        <f t="shared" si="0"/>
        <v>19.8215276</v>
      </c>
      <c r="K27">
        <f t="shared" si="1"/>
        <v>0.27854562399999949</v>
      </c>
      <c r="P27">
        <f t="shared" si="2"/>
        <v>1.5633986765002564E-2</v>
      </c>
      <c r="Q27">
        <f t="shared" si="3"/>
        <v>1.4052681994096131E-2</v>
      </c>
    </row>
    <row r="28" spans="1:17" x14ac:dyDescent="0.2">
      <c r="A28" s="1">
        <v>41301</v>
      </c>
      <c r="B28" s="2">
        <f t="shared" si="4"/>
        <v>5</v>
      </c>
      <c r="C28">
        <v>17.538126999999999</v>
      </c>
      <c r="D28">
        <v>0</v>
      </c>
      <c r="E28">
        <v>3.7877231199999999</v>
      </c>
      <c r="F28">
        <v>13.70630942</v>
      </c>
      <c r="G28">
        <v>7.9070049439999996</v>
      </c>
      <c r="H28">
        <v>0</v>
      </c>
      <c r="I28">
        <f t="shared" si="5"/>
        <v>13.75040388</v>
      </c>
      <c r="J28">
        <f t="shared" si="0"/>
        <v>17.538126999999999</v>
      </c>
      <c r="K28">
        <f t="shared" si="1"/>
        <v>4.4094460000000169E-2</v>
      </c>
      <c r="P28">
        <f t="shared" si="2"/>
        <v>3.2067756252698643E-3</v>
      </c>
      <c r="Q28">
        <f t="shared" si="3"/>
        <v>2.5142057643897874E-3</v>
      </c>
    </row>
    <row r="29" spans="1:17" x14ac:dyDescent="0.2">
      <c r="A29" s="1">
        <v>41302</v>
      </c>
      <c r="B29" s="2">
        <f t="shared" si="4"/>
        <v>5</v>
      </c>
      <c r="C29">
        <v>13.70630942</v>
      </c>
      <c r="D29">
        <v>0</v>
      </c>
      <c r="E29">
        <v>3.4445397309999999</v>
      </c>
      <c r="F29">
        <v>10.211569880000001</v>
      </c>
      <c r="G29">
        <v>6.2684847640000001</v>
      </c>
      <c r="H29">
        <v>0</v>
      </c>
      <c r="I29">
        <f t="shared" si="5"/>
        <v>10.261769689000001</v>
      </c>
      <c r="J29">
        <f t="shared" si="0"/>
        <v>13.70630942</v>
      </c>
      <c r="K29">
        <f t="shared" si="1"/>
        <v>5.0199809000000428E-2</v>
      </c>
      <c r="P29">
        <f t="shared" si="2"/>
        <v>4.8919251280616438E-3</v>
      </c>
      <c r="Q29">
        <f t="shared" si="3"/>
        <v>3.6625328862596499E-3</v>
      </c>
    </row>
    <row r="30" spans="1:17" x14ac:dyDescent="0.2">
      <c r="A30" s="1">
        <v>41303</v>
      </c>
      <c r="B30" s="2">
        <f t="shared" si="4"/>
        <v>6</v>
      </c>
      <c r="C30">
        <v>10.211569880000001</v>
      </c>
      <c r="D30">
        <v>15.7</v>
      </c>
      <c r="E30">
        <v>2.4023774179999999</v>
      </c>
      <c r="F30">
        <v>22.821703729999999</v>
      </c>
      <c r="G30">
        <v>8.1341472830000008</v>
      </c>
      <c r="H30">
        <v>0</v>
      </c>
      <c r="I30">
        <f t="shared" si="5"/>
        <v>23.509192462000001</v>
      </c>
      <c r="J30">
        <f t="shared" si="0"/>
        <v>25.911569880000002</v>
      </c>
      <c r="K30">
        <f t="shared" si="1"/>
        <v>0.68748873200000205</v>
      </c>
      <c r="P30">
        <f t="shared" si="2"/>
        <v>2.9243400559642838E-2</v>
      </c>
      <c r="Q30">
        <f t="shared" si="3"/>
        <v>2.6532114232516814E-2</v>
      </c>
    </row>
    <row r="31" spans="1:17" x14ac:dyDescent="0.2">
      <c r="A31" s="1">
        <v>41304</v>
      </c>
      <c r="B31" s="2">
        <f t="shared" si="4"/>
        <v>6</v>
      </c>
      <c r="C31">
        <v>22.821703729999999</v>
      </c>
      <c r="D31">
        <v>0</v>
      </c>
      <c r="E31">
        <v>3.0634805250000001</v>
      </c>
      <c r="F31">
        <v>19.75629275</v>
      </c>
      <c r="G31">
        <v>7.1213423779999996</v>
      </c>
      <c r="H31">
        <v>0</v>
      </c>
      <c r="I31">
        <f t="shared" si="5"/>
        <v>19.758223205</v>
      </c>
      <c r="J31">
        <f t="shared" si="0"/>
        <v>22.821703729999999</v>
      </c>
      <c r="K31">
        <f t="shared" si="1"/>
        <v>1.9304550000001086E-3</v>
      </c>
      <c r="P31">
        <f t="shared" si="2"/>
        <v>9.7703876506040745E-5</v>
      </c>
      <c r="Q31">
        <f t="shared" si="3"/>
        <v>8.4588557578304366E-5</v>
      </c>
    </row>
    <row r="32" spans="1:17" x14ac:dyDescent="0.2">
      <c r="A32" s="1">
        <v>41305</v>
      </c>
      <c r="B32" s="2">
        <f t="shared" si="4"/>
        <v>6</v>
      </c>
      <c r="C32">
        <v>19.75629275</v>
      </c>
      <c r="D32">
        <v>0</v>
      </c>
      <c r="E32">
        <v>1.29979358</v>
      </c>
      <c r="F32">
        <v>18.429724700000001</v>
      </c>
      <c r="G32">
        <v>8.5765533559999998</v>
      </c>
      <c r="H32">
        <v>0</v>
      </c>
      <c r="I32">
        <f t="shared" si="5"/>
        <v>18.456499170000001</v>
      </c>
      <c r="J32">
        <f t="shared" si="0"/>
        <v>19.75629275</v>
      </c>
      <c r="K32">
        <f t="shared" si="1"/>
        <v>2.677446999999944E-2</v>
      </c>
      <c r="P32">
        <f t="shared" si="2"/>
        <v>1.4506797715744398E-3</v>
      </c>
      <c r="Q32">
        <f t="shared" si="3"/>
        <v>1.3552375609538099E-3</v>
      </c>
    </row>
    <row r="33" spans="1:17" x14ac:dyDescent="0.2">
      <c r="A33" s="1">
        <v>41306</v>
      </c>
      <c r="B33" s="2">
        <f t="shared" si="4"/>
        <v>6</v>
      </c>
      <c r="C33">
        <v>18.429724700000001</v>
      </c>
      <c r="D33">
        <v>0</v>
      </c>
      <c r="E33">
        <v>3.5873824089999999</v>
      </c>
      <c r="F33">
        <v>14.82625869</v>
      </c>
      <c r="G33">
        <v>7.6613071079999999</v>
      </c>
      <c r="H33">
        <v>0</v>
      </c>
      <c r="I33">
        <f t="shared" si="5"/>
        <v>14.842342291000001</v>
      </c>
      <c r="J33">
        <f t="shared" si="0"/>
        <v>18.429724700000001</v>
      </c>
      <c r="K33">
        <f t="shared" si="1"/>
        <v>1.6083601000001835E-2</v>
      </c>
      <c r="P33">
        <f t="shared" si="2"/>
        <v>1.0836295703646789E-3</v>
      </c>
      <c r="Q33">
        <f t="shared" si="3"/>
        <v>8.726989285955983E-4</v>
      </c>
    </row>
    <row r="34" spans="1:17" x14ac:dyDescent="0.2">
      <c r="A34" s="1">
        <v>41307</v>
      </c>
      <c r="B34" s="2">
        <f t="shared" si="4"/>
        <v>6</v>
      </c>
      <c r="C34">
        <v>14.82625869</v>
      </c>
      <c r="D34">
        <v>0</v>
      </c>
      <c r="E34">
        <v>3.224123852</v>
      </c>
      <c r="F34">
        <v>10.47721754</v>
      </c>
      <c r="G34">
        <v>7.6185254960000002</v>
      </c>
      <c r="H34">
        <v>0</v>
      </c>
      <c r="I34">
        <f t="shared" si="5"/>
        <v>11.602134838</v>
      </c>
      <c r="J34">
        <f t="shared" si="0"/>
        <v>14.82625869</v>
      </c>
      <c r="K34">
        <f t="shared" si="1"/>
        <v>1.1249172979999997</v>
      </c>
      <c r="P34">
        <f t="shared" si="2"/>
        <v>9.6957785244453795E-2</v>
      </c>
      <c r="Q34">
        <f t="shared" si="3"/>
        <v>7.5873308399693098E-2</v>
      </c>
    </row>
    <row r="35" spans="1:17" x14ac:dyDescent="0.2">
      <c r="A35" s="1">
        <v>41308</v>
      </c>
      <c r="B35" s="2">
        <f t="shared" si="4"/>
        <v>7</v>
      </c>
      <c r="C35">
        <v>10.47721754</v>
      </c>
      <c r="D35">
        <v>9.9</v>
      </c>
      <c r="E35">
        <v>1.5783946129999999</v>
      </c>
      <c r="F35">
        <v>18.69548181</v>
      </c>
      <c r="G35">
        <v>7.2075221100000002</v>
      </c>
      <c r="H35">
        <v>0</v>
      </c>
      <c r="I35">
        <f t="shared" si="5"/>
        <v>18.798822927</v>
      </c>
      <c r="J35">
        <f t="shared" si="0"/>
        <v>20.37721754</v>
      </c>
      <c r="K35">
        <f t="shared" si="1"/>
        <v>0.10334111699999937</v>
      </c>
      <c r="P35">
        <f t="shared" si="2"/>
        <v>5.4972121074439535E-3</v>
      </c>
      <c r="Q35">
        <f t="shared" si="3"/>
        <v>5.0714047095558159E-3</v>
      </c>
    </row>
    <row r="36" spans="1:17" x14ac:dyDescent="0.2">
      <c r="A36" s="1">
        <v>41309</v>
      </c>
      <c r="B36" s="2">
        <f t="shared" si="4"/>
        <v>7</v>
      </c>
      <c r="C36">
        <v>18.69548181</v>
      </c>
      <c r="D36">
        <v>0</v>
      </c>
      <c r="E36">
        <v>2.6112524920000002</v>
      </c>
      <c r="F36">
        <v>16.06753737</v>
      </c>
      <c r="G36">
        <v>7.4476529439999997</v>
      </c>
      <c r="H36">
        <v>0</v>
      </c>
      <c r="I36">
        <f t="shared" si="5"/>
        <v>16.084229317999998</v>
      </c>
      <c r="J36">
        <f t="shared" si="0"/>
        <v>18.69548181</v>
      </c>
      <c r="K36">
        <f t="shared" si="1"/>
        <v>1.6691947999998291E-2</v>
      </c>
      <c r="P36">
        <f t="shared" si="2"/>
        <v>1.0377835126559772E-3</v>
      </c>
      <c r="Q36">
        <f t="shared" si="3"/>
        <v>8.9283326151401768E-4</v>
      </c>
    </row>
    <row r="37" spans="1:17" x14ac:dyDescent="0.2">
      <c r="A37" s="1">
        <v>41310</v>
      </c>
      <c r="B37" s="2">
        <f t="shared" si="4"/>
        <v>7</v>
      </c>
      <c r="C37">
        <v>16.06753737</v>
      </c>
      <c r="D37">
        <v>0</v>
      </c>
      <c r="E37">
        <v>6.3169547259999996</v>
      </c>
      <c r="F37">
        <v>9.7464583299999994</v>
      </c>
      <c r="G37">
        <v>7.1525691800000004</v>
      </c>
      <c r="H37">
        <v>0</v>
      </c>
      <c r="I37">
        <f t="shared" si="5"/>
        <v>9.7505826440000014</v>
      </c>
      <c r="J37">
        <f t="shared" si="0"/>
        <v>16.06753737</v>
      </c>
      <c r="K37">
        <f t="shared" si="1"/>
        <v>4.1243140000020162E-3</v>
      </c>
      <c r="P37">
        <f t="shared" si="2"/>
        <v>4.2298128743515685E-4</v>
      </c>
      <c r="Q37">
        <f t="shared" si="3"/>
        <v>2.5668613086300332E-4</v>
      </c>
    </row>
    <row r="38" spans="1:17" x14ac:dyDescent="0.2">
      <c r="A38" s="1">
        <v>41311</v>
      </c>
      <c r="B38" s="2">
        <f t="shared" si="4"/>
        <v>7</v>
      </c>
      <c r="C38">
        <v>9.7464583299999994</v>
      </c>
      <c r="D38">
        <v>0</v>
      </c>
      <c r="E38">
        <v>4.0077206419999998</v>
      </c>
      <c r="F38">
        <v>5.7250590739999998</v>
      </c>
      <c r="G38">
        <v>7.1420788799999997</v>
      </c>
      <c r="H38">
        <v>0</v>
      </c>
      <c r="I38">
        <f t="shared" si="5"/>
        <v>5.7387376879999996</v>
      </c>
      <c r="J38">
        <f t="shared" si="0"/>
        <v>9.7464583299999994</v>
      </c>
      <c r="K38">
        <f t="shared" si="1"/>
        <v>1.3678613999999811E-2</v>
      </c>
      <c r="P38">
        <f t="shared" si="2"/>
        <v>2.3835579780205861E-3</v>
      </c>
      <c r="Q38">
        <f t="shared" si="3"/>
        <v>1.4034445679510551E-3</v>
      </c>
    </row>
    <row r="39" spans="1:17" x14ac:dyDescent="0.2">
      <c r="A39" s="1">
        <v>41312</v>
      </c>
      <c r="B39" s="2">
        <f t="shared" si="4"/>
        <v>8</v>
      </c>
      <c r="C39">
        <v>5.7250590739999998</v>
      </c>
      <c r="D39">
        <v>59.2</v>
      </c>
      <c r="E39">
        <v>11.65433687</v>
      </c>
      <c r="F39">
        <v>51.318500700000001</v>
      </c>
      <c r="G39">
        <v>7.3288573770000003</v>
      </c>
      <c r="H39">
        <v>1</v>
      </c>
      <c r="I39">
        <f t="shared" si="5"/>
        <v>53.270722204000002</v>
      </c>
      <c r="J39">
        <f t="shared" si="0"/>
        <v>64.925059074000004</v>
      </c>
      <c r="K39">
        <f t="shared" si="1"/>
        <v>1.9522215040000006</v>
      </c>
      <c r="P39">
        <f t="shared" si="2"/>
        <v>3.6647175469556745E-2</v>
      </c>
      <c r="Q39">
        <f t="shared" si="3"/>
        <v>3.0068844477675501E-2</v>
      </c>
    </row>
    <row r="40" spans="1:17" x14ac:dyDescent="0.2">
      <c r="A40" s="1">
        <v>41313</v>
      </c>
      <c r="B40" s="2">
        <f t="shared" si="4"/>
        <v>8</v>
      </c>
      <c r="C40">
        <v>51.318500700000001</v>
      </c>
      <c r="D40">
        <v>0</v>
      </c>
      <c r="E40">
        <v>13.95554621</v>
      </c>
      <c r="F40">
        <v>37.24389231</v>
      </c>
      <c r="G40">
        <v>7.6568927320000002</v>
      </c>
      <c r="H40">
        <v>1</v>
      </c>
      <c r="I40">
        <f t="shared" si="5"/>
        <v>37.36295449</v>
      </c>
      <c r="J40">
        <f t="shared" si="0"/>
        <v>51.318500700000001</v>
      </c>
      <c r="K40">
        <f t="shared" si="1"/>
        <v>0.11906218000000024</v>
      </c>
      <c r="P40">
        <f t="shared" si="2"/>
        <v>3.1866371818070924E-3</v>
      </c>
      <c r="Q40">
        <f t="shared" si="3"/>
        <v>2.3200634932033439E-3</v>
      </c>
    </row>
    <row r="41" spans="1:17" x14ac:dyDescent="0.2">
      <c r="A41" s="1">
        <v>41314</v>
      </c>
      <c r="B41" s="2">
        <f t="shared" si="4"/>
        <v>8</v>
      </c>
      <c r="C41">
        <v>37.24389231</v>
      </c>
      <c r="D41">
        <v>0</v>
      </c>
      <c r="E41">
        <v>7.9581586020000001</v>
      </c>
      <c r="F41">
        <v>29.268631509999999</v>
      </c>
      <c r="G41">
        <v>8.1931869630000005</v>
      </c>
      <c r="H41">
        <v>1</v>
      </c>
      <c r="I41">
        <f t="shared" si="5"/>
        <v>29.285733707999999</v>
      </c>
      <c r="J41">
        <f t="shared" si="0"/>
        <v>37.24389231</v>
      </c>
      <c r="K41">
        <f t="shared" si="1"/>
        <v>1.7102197999999902E-2</v>
      </c>
      <c r="P41">
        <f t="shared" si="2"/>
        <v>5.8397710538930726E-4</v>
      </c>
      <c r="Q41">
        <f t="shared" si="3"/>
        <v>4.5919470117810311E-4</v>
      </c>
    </row>
    <row r="42" spans="1:17" x14ac:dyDescent="0.2">
      <c r="A42" s="1">
        <v>41315</v>
      </c>
      <c r="B42" s="2">
        <f t="shared" si="4"/>
        <v>8</v>
      </c>
      <c r="C42">
        <v>29.268631509999999</v>
      </c>
      <c r="D42">
        <v>0</v>
      </c>
      <c r="E42">
        <v>1.146350395</v>
      </c>
      <c r="F42">
        <v>28.117687969999999</v>
      </c>
      <c r="G42">
        <v>9.1176497639999994</v>
      </c>
      <c r="H42">
        <v>0</v>
      </c>
      <c r="I42">
        <f t="shared" si="5"/>
        <v>28.122281115</v>
      </c>
      <c r="J42">
        <f t="shared" si="0"/>
        <v>29.268631509999999</v>
      </c>
      <c r="K42">
        <f t="shared" si="1"/>
        <v>4.5931450000011864E-3</v>
      </c>
      <c r="P42">
        <f t="shared" si="2"/>
        <v>1.63327611342E-4</v>
      </c>
      <c r="Q42">
        <f t="shared" si="3"/>
        <v>1.5693063744479753E-4</v>
      </c>
    </row>
    <row r="43" spans="1:17" x14ac:dyDescent="0.2">
      <c r="A43" s="1">
        <v>41316</v>
      </c>
      <c r="B43" s="2">
        <f t="shared" si="4"/>
        <v>8</v>
      </c>
      <c r="C43">
        <v>28.117687969999999</v>
      </c>
      <c r="D43">
        <v>0</v>
      </c>
      <c r="E43">
        <v>2.1559189750000001</v>
      </c>
      <c r="F43">
        <v>25.947338269999999</v>
      </c>
      <c r="G43">
        <v>8.9453480719999998</v>
      </c>
      <c r="H43">
        <v>0</v>
      </c>
      <c r="I43">
        <f t="shared" si="5"/>
        <v>25.961768995</v>
      </c>
      <c r="J43">
        <f t="shared" si="0"/>
        <v>28.117687969999999</v>
      </c>
      <c r="K43">
        <f t="shared" si="1"/>
        <v>1.4430725000000422E-2</v>
      </c>
      <c r="P43">
        <f t="shared" si="2"/>
        <v>5.5584521234973037E-4</v>
      </c>
      <c r="Q43">
        <f t="shared" si="3"/>
        <v>5.1322587459527963E-4</v>
      </c>
    </row>
    <row r="44" spans="1:17" x14ac:dyDescent="0.2">
      <c r="A44" s="1">
        <v>41317</v>
      </c>
      <c r="B44" s="2">
        <f t="shared" si="4"/>
        <v>8</v>
      </c>
      <c r="C44">
        <v>25.947338269999999</v>
      </c>
      <c r="D44">
        <v>0</v>
      </c>
      <c r="E44">
        <v>4.942618993</v>
      </c>
      <c r="F44">
        <v>20.855228879999999</v>
      </c>
      <c r="G44">
        <v>8.7151165309999996</v>
      </c>
      <c r="H44">
        <v>0</v>
      </c>
      <c r="I44">
        <f t="shared" si="5"/>
        <v>21.004719277</v>
      </c>
      <c r="J44">
        <f t="shared" si="0"/>
        <v>25.947338269999999</v>
      </c>
      <c r="K44">
        <f t="shared" si="1"/>
        <v>0.149490397000001</v>
      </c>
      <c r="P44">
        <f t="shared" si="2"/>
        <v>7.1169909499191348E-3</v>
      </c>
      <c r="Q44">
        <f t="shared" si="3"/>
        <v>5.7612998853466216E-3</v>
      </c>
    </row>
    <row r="45" spans="1:17" x14ac:dyDescent="0.2">
      <c r="A45" s="1">
        <v>41318</v>
      </c>
      <c r="B45" s="2">
        <f t="shared" si="4"/>
        <v>8</v>
      </c>
      <c r="C45">
        <v>20.855228879999999</v>
      </c>
      <c r="D45">
        <v>0</v>
      </c>
      <c r="E45">
        <v>1.27371199</v>
      </c>
      <c r="F45">
        <v>18.593046699999999</v>
      </c>
      <c r="G45">
        <v>8.2970671589999991</v>
      </c>
      <c r="H45">
        <v>0</v>
      </c>
      <c r="I45">
        <f t="shared" si="5"/>
        <v>19.58151689</v>
      </c>
      <c r="J45">
        <f t="shared" si="0"/>
        <v>20.855228879999999</v>
      </c>
      <c r="K45">
        <f t="shared" si="1"/>
        <v>0.98847019000000103</v>
      </c>
      <c r="P45">
        <f t="shared" si="2"/>
        <v>5.0479755759105599E-2</v>
      </c>
      <c r="Q45">
        <f t="shared" si="3"/>
        <v>4.7396755781852686E-2</v>
      </c>
    </row>
    <row r="46" spans="1:17" x14ac:dyDescent="0.2">
      <c r="A46" s="1">
        <v>41319</v>
      </c>
      <c r="B46" s="2">
        <f t="shared" si="4"/>
        <v>8</v>
      </c>
      <c r="C46">
        <v>18.593046699999999</v>
      </c>
      <c r="D46">
        <v>0</v>
      </c>
      <c r="E46">
        <v>1.6433429690000001</v>
      </c>
      <c r="F46">
        <v>16.944904560000001</v>
      </c>
      <c r="G46">
        <v>7.981937727</v>
      </c>
      <c r="H46">
        <v>0</v>
      </c>
      <c r="I46">
        <f t="shared" si="5"/>
        <v>16.949703731</v>
      </c>
      <c r="J46">
        <f t="shared" si="0"/>
        <v>18.593046699999999</v>
      </c>
      <c r="K46">
        <f t="shared" si="1"/>
        <v>4.7991709999983811E-3</v>
      </c>
      <c r="P46">
        <f t="shared" si="2"/>
        <v>2.831418811894029E-4</v>
      </c>
      <c r="Q46">
        <f t="shared" si="3"/>
        <v>2.5811643876516382E-4</v>
      </c>
    </row>
    <row r="47" spans="1:17" x14ac:dyDescent="0.2">
      <c r="A47" s="1">
        <v>41320</v>
      </c>
      <c r="B47" s="2">
        <f t="shared" si="4"/>
        <v>8</v>
      </c>
      <c r="C47">
        <v>16.944904560000001</v>
      </c>
      <c r="D47">
        <v>0</v>
      </c>
      <c r="E47">
        <v>1.5694028470000001</v>
      </c>
      <c r="F47">
        <v>15.37543475</v>
      </c>
      <c r="G47">
        <v>7.9391408229999998</v>
      </c>
      <c r="H47">
        <v>0</v>
      </c>
      <c r="I47">
        <f t="shared" si="5"/>
        <v>15.375501713000002</v>
      </c>
      <c r="J47">
        <f t="shared" si="0"/>
        <v>16.944904560000001</v>
      </c>
      <c r="K47">
        <f t="shared" si="1"/>
        <v>6.6963000001862838E-5</v>
      </c>
      <c r="P47">
        <f t="shared" si="2"/>
        <v>4.3551749563557695E-6</v>
      </c>
      <c r="Q47">
        <f t="shared" si="3"/>
        <v>3.9518074454036838E-6</v>
      </c>
    </row>
    <row r="48" spans="1:17" x14ac:dyDescent="0.2">
      <c r="A48" s="1">
        <v>41321</v>
      </c>
      <c r="B48" s="2">
        <f t="shared" si="4"/>
        <v>8</v>
      </c>
      <c r="C48">
        <v>15.37543475</v>
      </c>
      <c r="D48">
        <v>0</v>
      </c>
      <c r="E48">
        <v>1.64885028</v>
      </c>
      <c r="F48">
        <v>13.70437937</v>
      </c>
      <c r="G48">
        <v>8.2667629159999994</v>
      </c>
      <c r="H48">
        <v>0</v>
      </c>
      <c r="I48">
        <f t="shared" si="5"/>
        <v>13.726584470000001</v>
      </c>
      <c r="J48">
        <f t="shared" si="0"/>
        <v>15.37543475</v>
      </c>
      <c r="K48">
        <f t="shared" si="1"/>
        <v>2.2205100000000755E-2</v>
      </c>
      <c r="P48">
        <f t="shared" si="2"/>
        <v>1.6176711729367847E-3</v>
      </c>
      <c r="Q48">
        <f t="shared" si="3"/>
        <v>1.4441933097209337E-3</v>
      </c>
    </row>
    <row r="49" spans="1:17" x14ac:dyDescent="0.2">
      <c r="A49" s="1">
        <v>41322</v>
      </c>
      <c r="B49" s="2">
        <f t="shared" si="4"/>
        <v>8</v>
      </c>
      <c r="C49">
        <v>13.70437937</v>
      </c>
      <c r="D49">
        <v>0</v>
      </c>
      <c r="E49">
        <v>1.9197165359999999</v>
      </c>
      <c r="F49">
        <v>11.6118668</v>
      </c>
      <c r="G49">
        <v>8.1619274179999994</v>
      </c>
      <c r="H49">
        <v>0</v>
      </c>
      <c r="I49">
        <f t="shared" si="5"/>
        <v>11.784662834000001</v>
      </c>
      <c r="J49">
        <f t="shared" si="0"/>
        <v>13.70437937</v>
      </c>
      <c r="K49">
        <f t="shared" si="1"/>
        <v>0.17279603400000099</v>
      </c>
      <c r="P49">
        <f t="shared" si="2"/>
        <v>1.4662789800100698E-2</v>
      </c>
      <c r="Q49">
        <f t="shared" si="3"/>
        <v>1.2608818636345222E-2</v>
      </c>
    </row>
    <row r="50" spans="1:17" x14ac:dyDescent="0.2">
      <c r="A50" s="1">
        <v>41323</v>
      </c>
      <c r="B50" s="2">
        <f t="shared" si="4"/>
        <v>8</v>
      </c>
      <c r="C50">
        <v>11.6118668</v>
      </c>
      <c r="D50">
        <v>0</v>
      </c>
      <c r="E50">
        <v>2.3637521750000001</v>
      </c>
      <c r="F50">
        <v>9.1625455020000004</v>
      </c>
      <c r="G50">
        <v>8.1024315609999995</v>
      </c>
      <c r="H50">
        <v>0</v>
      </c>
      <c r="I50">
        <f t="shared" si="5"/>
        <v>9.2481146249999995</v>
      </c>
      <c r="J50">
        <f t="shared" si="0"/>
        <v>11.6118668</v>
      </c>
      <c r="K50">
        <f t="shared" si="1"/>
        <v>8.5569122999999081E-2</v>
      </c>
      <c r="P50">
        <f t="shared" si="2"/>
        <v>9.2526019053314965E-3</v>
      </c>
      <c r="Q50">
        <f t="shared" si="3"/>
        <v>7.3691099350191554E-3</v>
      </c>
    </row>
    <row r="51" spans="1:17" x14ac:dyDescent="0.2">
      <c r="A51" s="1">
        <v>41324</v>
      </c>
      <c r="B51" s="2">
        <f t="shared" si="4"/>
        <v>8</v>
      </c>
      <c r="C51">
        <v>9.1625455020000004</v>
      </c>
      <c r="D51">
        <v>0</v>
      </c>
      <c r="E51">
        <v>2.5132496080000002</v>
      </c>
      <c r="F51">
        <v>6.4348140750000002</v>
      </c>
      <c r="G51">
        <v>8.2044935330000008</v>
      </c>
      <c r="H51">
        <v>0</v>
      </c>
      <c r="I51">
        <f t="shared" si="5"/>
        <v>6.6492958939999998</v>
      </c>
      <c r="J51">
        <f t="shared" si="0"/>
        <v>9.1625455020000004</v>
      </c>
      <c r="K51">
        <f t="shared" si="1"/>
        <v>0.21448181899999952</v>
      </c>
      <c r="P51">
        <f t="shared" si="2"/>
        <v>3.2256320431391455E-2</v>
      </c>
      <c r="Q51">
        <f t="shared" si="3"/>
        <v>2.3408540667348657E-2</v>
      </c>
    </row>
    <row r="52" spans="1:17" x14ac:dyDescent="0.2">
      <c r="A52" s="1">
        <v>41325</v>
      </c>
      <c r="B52" s="2">
        <f t="shared" si="4"/>
        <v>9</v>
      </c>
      <c r="C52">
        <v>6.4348140750000002</v>
      </c>
      <c r="D52">
        <v>10.6</v>
      </c>
      <c r="E52">
        <v>3.6300685659999998</v>
      </c>
      <c r="F52">
        <v>13.170838460000001</v>
      </c>
      <c r="G52">
        <v>7.9612688619999998</v>
      </c>
      <c r="H52">
        <v>0</v>
      </c>
      <c r="I52">
        <f t="shared" si="5"/>
        <v>13.404745509</v>
      </c>
      <c r="J52">
        <f t="shared" si="0"/>
        <v>17.034814075</v>
      </c>
      <c r="K52">
        <f t="shared" si="1"/>
        <v>0.23390704899999903</v>
      </c>
      <c r="P52">
        <f t="shared" si="2"/>
        <v>1.744957029157718E-2</v>
      </c>
      <c r="Q52">
        <f t="shared" si="3"/>
        <v>1.3731118400832857E-2</v>
      </c>
    </row>
    <row r="53" spans="1:17" x14ac:dyDescent="0.2">
      <c r="A53" s="1">
        <v>41326</v>
      </c>
      <c r="B53" s="2">
        <f t="shared" si="4"/>
        <v>9</v>
      </c>
      <c r="C53">
        <v>13.170838460000001</v>
      </c>
      <c r="D53">
        <v>0</v>
      </c>
      <c r="E53">
        <v>1.818807971</v>
      </c>
      <c r="F53">
        <v>11.35145676</v>
      </c>
      <c r="G53">
        <v>8.0057131269999999</v>
      </c>
      <c r="H53">
        <v>0</v>
      </c>
      <c r="I53">
        <f t="shared" si="5"/>
        <v>11.352030489000001</v>
      </c>
      <c r="J53">
        <f t="shared" si="0"/>
        <v>13.170838460000001</v>
      </c>
      <c r="K53">
        <f t="shared" si="1"/>
        <v>5.7372900000096649E-4</v>
      </c>
      <c r="P53">
        <f t="shared" si="2"/>
        <v>5.0539769123850043E-5</v>
      </c>
      <c r="Q53">
        <f t="shared" si="3"/>
        <v>4.3560552484444217E-5</v>
      </c>
    </row>
    <row r="54" spans="1:17" x14ac:dyDescent="0.2">
      <c r="A54" s="1">
        <v>41327</v>
      </c>
      <c r="B54" s="2">
        <f t="shared" si="4"/>
        <v>10</v>
      </c>
      <c r="C54">
        <v>11.35145676</v>
      </c>
      <c r="D54">
        <v>10.4</v>
      </c>
      <c r="E54">
        <v>1.3746897570000001</v>
      </c>
      <c r="F54">
        <v>20.37669481</v>
      </c>
      <c r="G54">
        <v>7.9518749529999999</v>
      </c>
      <c r="H54">
        <v>0</v>
      </c>
      <c r="I54">
        <f t="shared" si="5"/>
        <v>20.376767003000001</v>
      </c>
      <c r="J54">
        <f t="shared" si="0"/>
        <v>21.75145676</v>
      </c>
      <c r="K54">
        <f t="shared" si="1"/>
        <v>7.2193000001163909E-5</v>
      </c>
      <c r="P54">
        <f t="shared" si="2"/>
        <v>3.542907468615369E-6</v>
      </c>
      <c r="Q54">
        <f t="shared" si="3"/>
        <v>3.3189960928926725E-6</v>
      </c>
    </row>
    <row r="55" spans="1:17" x14ac:dyDescent="0.2">
      <c r="A55" s="1">
        <v>41328</v>
      </c>
      <c r="B55" s="2">
        <f t="shared" si="4"/>
        <v>10</v>
      </c>
      <c r="C55">
        <v>20.37669481</v>
      </c>
      <c r="D55">
        <v>0</v>
      </c>
      <c r="E55">
        <v>1.364667281</v>
      </c>
      <c r="F55">
        <v>18.976395579999998</v>
      </c>
      <c r="G55">
        <v>8.3637904850000009</v>
      </c>
      <c r="H55">
        <v>0</v>
      </c>
      <c r="I55">
        <f t="shared" si="5"/>
        <v>19.012027529000001</v>
      </c>
      <c r="J55">
        <f t="shared" si="0"/>
        <v>20.37669481</v>
      </c>
      <c r="K55">
        <f t="shared" si="1"/>
        <v>3.563194900000255E-2</v>
      </c>
      <c r="P55">
        <f t="shared" si="2"/>
        <v>1.8741793291457919E-3</v>
      </c>
      <c r="Q55">
        <f t="shared" si="3"/>
        <v>1.74866185768832E-3</v>
      </c>
    </row>
    <row r="56" spans="1:17" x14ac:dyDescent="0.2">
      <c r="A56" s="1">
        <v>41329</v>
      </c>
      <c r="B56" s="2">
        <f t="shared" si="4"/>
        <v>10</v>
      </c>
      <c r="C56">
        <v>18.976395579999998</v>
      </c>
      <c r="D56">
        <v>0</v>
      </c>
      <c r="E56">
        <v>4.8731141769999997</v>
      </c>
      <c r="F56">
        <v>14.026807160000001</v>
      </c>
      <c r="G56">
        <v>8.1788802940000007</v>
      </c>
      <c r="H56">
        <v>0</v>
      </c>
      <c r="I56">
        <f t="shared" si="5"/>
        <v>14.103281402999999</v>
      </c>
      <c r="J56">
        <f t="shared" si="0"/>
        <v>18.976395579999998</v>
      </c>
      <c r="K56">
        <f t="shared" si="1"/>
        <v>7.6474242999998054E-2</v>
      </c>
      <c r="P56">
        <f t="shared" si="2"/>
        <v>5.4224432466993622E-3</v>
      </c>
      <c r="Q56">
        <f t="shared" si="3"/>
        <v>4.0299667382881392E-3</v>
      </c>
    </row>
    <row r="57" spans="1:17" x14ac:dyDescent="0.2">
      <c r="A57" s="1">
        <v>41330</v>
      </c>
      <c r="B57" s="2">
        <f t="shared" si="4"/>
        <v>10</v>
      </c>
      <c r="C57">
        <v>14.026807160000001</v>
      </c>
      <c r="D57">
        <v>0</v>
      </c>
      <c r="E57">
        <v>1.6060523680000001</v>
      </c>
      <c r="F57">
        <v>12.356380980000001</v>
      </c>
      <c r="G57">
        <v>8.2986414540000002</v>
      </c>
      <c r="H57">
        <v>0</v>
      </c>
      <c r="I57">
        <f t="shared" si="5"/>
        <v>12.420754792</v>
      </c>
      <c r="J57">
        <f t="shared" si="0"/>
        <v>14.026807160000001</v>
      </c>
      <c r="K57">
        <f t="shared" si="1"/>
        <v>6.4373811999999475E-2</v>
      </c>
      <c r="P57">
        <f t="shared" si="2"/>
        <v>5.1827616822015974E-3</v>
      </c>
      <c r="Q57">
        <f t="shared" si="3"/>
        <v>4.5893417700624802E-3</v>
      </c>
    </row>
    <row r="58" spans="1:17" x14ac:dyDescent="0.2">
      <c r="A58" s="1">
        <v>41331</v>
      </c>
      <c r="B58" s="2">
        <f t="shared" si="4"/>
        <v>10</v>
      </c>
      <c r="C58">
        <v>12.356380980000001</v>
      </c>
      <c r="D58">
        <v>0</v>
      </c>
      <c r="E58">
        <v>3.0658802540000001</v>
      </c>
      <c r="F58">
        <v>9.2891499569999993</v>
      </c>
      <c r="G58">
        <v>8.1659544579999999</v>
      </c>
      <c r="H58">
        <v>0</v>
      </c>
      <c r="I58">
        <f t="shared" si="5"/>
        <v>9.2905007260000012</v>
      </c>
      <c r="J58">
        <f t="shared" si="0"/>
        <v>12.356380980000001</v>
      </c>
      <c r="K58">
        <f t="shared" si="1"/>
        <v>1.3507690000018613E-3</v>
      </c>
      <c r="P58">
        <f t="shared" si="2"/>
        <v>1.4539248635131758E-4</v>
      </c>
      <c r="Q58">
        <f t="shared" si="3"/>
        <v>1.0931752607727228E-4</v>
      </c>
    </row>
    <row r="59" spans="1:17" x14ac:dyDescent="0.2">
      <c r="A59" s="1">
        <v>41332</v>
      </c>
      <c r="B59" s="2">
        <f t="shared" si="4"/>
        <v>11</v>
      </c>
      <c r="C59">
        <v>9.2891499569999993</v>
      </c>
      <c r="D59">
        <v>19.7</v>
      </c>
      <c r="E59">
        <v>1.967770834</v>
      </c>
      <c r="F59">
        <v>26.587999809999999</v>
      </c>
      <c r="G59">
        <v>8.4507986469999992</v>
      </c>
      <c r="H59">
        <v>0</v>
      </c>
      <c r="I59">
        <f t="shared" si="5"/>
        <v>27.021379122999999</v>
      </c>
      <c r="J59">
        <f t="shared" si="0"/>
        <v>28.989149956999999</v>
      </c>
      <c r="K59">
        <f t="shared" si="1"/>
        <v>0.43337931299999966</v>
      </c>
      <c r="P59">
        <f t="shared" si="2"/>
        <v>1.6038386161834235E-2</v>
      </c>
      <c r="Q59">
        <f t="shared" si="3"/>
        <v>1.4949707516185783E-2</v>
      </c>
    </row>
    <row r="60" spans="1:17" x14ac:dyDescent="0.2">
      <c r="A60" s="1">
        <v>41333</v>
      </c>
      <c r="B60" s="2">
        <f t="shared" si="4"/>
        <v>11</v>
      </c>
      <c r="C60">
        <v>26.587999809999999</v>
      </c>
      <c r="D60">
        <v>0</v>
      </c>
      <c r="E60">
        <v>1.1123972179999999</v>
      </c>
      <c r="F60">
        <v>24.646036930000001</v>
      </c>
      <c r="G60">
        <v>8.5020501209999999</v>
      </c>
      <c r="H60">
        <v>0</v>
      </c>
      <c r="I60">
        <f t="shared" si="5"/>
        <v>25.475602592000001</v>
      </c>
      <c r="J60">
        <f t="shared" si="0"/>
        <v>26.587999809999999</v>
      </c>
      <c r="K60">
        <f t="shared" si="1"/>
        <v>0.82956566200000026</v>
      </c>
      <c r="P60">
        <f t="shared" si="2"/>
        <v>3.2563141892490717E-2</v>
      </c>
      <c r="Q60">
        <f t="shared" si="3"/>
        <v>3.120075477388836E-2</v>
      </c>
    </row>
    <row r="61" spans="1:17" x14ac:dyDescent="0.2">
      <c r="A61" s="1">
        <v>41334</v>
      </c>
      <c r="B61" s="2">
        <f t="shared" si="4"/>
        <v>11</v>
      </c>
      <c r="C61">
        <v>24.646036930000001</v>
      </c>
      <c r="D61">
        <v>0</v>
      </c>
      <c r="E61">
        <v>2.7518471610000002</v>
      </c>
      <c r="F61">
        <v>21.626589209999999</v>
      </c>
      <c r="G61">
        <v>8.8171092770000001</v>
      </c>
      <c r="H61">
        <v>0</v>
      </c>
      <c r="I61">
        <f t="shared" si="5"/>
        <v>21.894189769</v>
      </c>
      <c r="J61">
        <f t="shared" si="0"/>
        <v>24.646036930000001</v>
      </c>
      <c r="K61">
        <f t="shared" si="1"/>
        <v>0.26760055900000168</v>
      </c>
      <c r="P61">
        <f t="shared" si="2"/>
        <v>1.2222446312167144E-2</v>
      </c>
      <c r="Q61">
        <f t="shared" si="3"/>
        <v>1.0857752090530592E-2</v>
      </c>
    </row>
    <row r="62" spans="1:17" x14ac:dyDescent="0.2">
      <c r="A62" s="1">
        <v>41335</v>
      </c>
      <c r="B62" s="2">
        <f t="shared" si="4"/>
        <v>11</v>
      </c>
      <c r="C62">
        <v>21.626589209999999</v>
      </c>
      <c r="D62">
        <v>0</v>
      </c>
      <c r="E62">
        <v>1.1503754580000001</v>
      </c>
      <c r="F62">
        <v>19.49697123</v>
      </c>
      <c r="G62">
        <v>8.4877101869999994</v>
      </c>
      <c r="H62">
        <v>0</v>
      </c>
      <c r="I62">
        <f t="shared" si="5"/>
        <v>20.476213752</v>
      </c>
      <c r="J62">
        <f t="shared" si="0"/>
        <v>21.626589209999999</v>
      </c>
      <c r="K62">
        <f t="shared" si="1"/>
        <v>0.97924252199999984</v>
      </c>
      <c r="P62">
        <f t="shared" si="2"/>
        <v>4.7823417642548931E-2</v>
      </c>
      <c r="Q62">
        <f t="shared" si="3"/>
        <v>4.5279563619176906E-2</v>
      </c>
    </row>
    <row r="63" spans="1:17" x14ac:dyDescent="0.2">
      <c r="A63" s="1">
        <v>41336</v>
      </c>
      <c r="B63" s="2">
        <f t="shared" si="4"/>
        <v>12</v>
      </c>
      <c r="C63">
        <v>19.49697123</v>
      </c>
      <c r="D63">
        <v>10.5</v>
      </c>
      <c r="E63">
        <v>4.3824627080000003</v>
      </c>
      <c r="F63">
        <v>24.975026939999999</v>
      </c>
      <c r="G63">
        <v>7.595878989</v>
      </c>
      <c r="H63">
        <v>0</v>
      </c>
      <c r="I63">
        <f t="shared" si="5"/>
        <v>25.614508522000001</v>
      </c>
      <c r="J63">
        <f t="shared" si="0"/>
        <v>29.99697123</v>
      </c>
      <c r="K63">
        <f t="shared" si="1"/>
        <v>0.63948158200000194</v>
      </c>
      <c r="P63">
        <f t="shared" si="2"/>
        <v>2.4965600314007925E-2</v>
      </c>
      <c r="Q63">
        <f t="shared" si="3"/>
        <v>2.131820499799179E-2</v>
      </c>
    </row>
    <row r="64" spans="1:17" x14ac:dyDescent="0.2">
      <c r="A64" s="1">
        <v>41337</v>
      </c>
      <c r="B64" s="2">
        <f t="shared" si="4"/>
        <v>12</v>
      </c>
      <c r="C64">
        <v>24.975026939999999</v>
      </c>
      <c r="D64">
        <v>0</v>
      </c>
      <c r="E64">
        <v>3.5697008719999999</v>
      </c>
      <c r="F64">
        <v>20.93097375</v>
      </c>
      <c r="G64">
        <v>8.2132969150000008</v>
      </c>
      <c r="H64">
        <v>0</v>
      </c>
      <c r="I64">
        <f t="shared" si="5"/>
        <v>21.405326068000001</v>
      </c>
      <c r="J64">
        <f t="shared" si="0"/>
        <v>24.975026939999999</v>
      </c>
      <c r="K64">
        <f t="shared" si="1"/>
        <v>0.47435231800000111</v>
      </c>
      <c r="P64">
        <f t="shared" si="2"/>
        <v>2.2160480830475948E-2</v>
      </c>
      <c r="Q64">
        <f t="shared" si="3"/>
        <v>1.8993065318391247E-2</v>
      </c>
    </row>
    <row r="65" spans="1:17" x14ac:dyDescent="0.2">
      <c r="A65" s="1">
        <v>41338</v>
      </c>
      <c r="B65" s="2">
        <f t="shared" si="4"/>
        <v>12</v>
      </c>
      <c r="C65">
        <v>20.93097375</v>
      </c>
      <c r="D65">
        <v>0</v>
      </c>
      <c r="E65">
        <v>3.3810646169999998</v>
      </c>
      <c r="F65">
        <v>17.295522049999999</v>
      </c>
      <c r="G65">
        <v>7.8656471359999998</v>
      </c>
      <c r="H65">
        <v>0</v>
      </c>
      <c r="I65">
        <f t="shared" si="5"/>
        <v>17.549909133</v>
      </c>
      <c r="J65">
        <f t="shared" si="0"/>
        <v>20.93097375</v>
      </c>
      <c r="K65">
        <f t="shared" si="1"/>
        <v>0.25438708300000101</v>
      </c>
      <c r="P65">
        <f t="shared" si="2"/>
        <v>1.4495065534080963E-2</v>
      </c>
      <c r="Q65">
        <f t="shared" si="3"/>
        <v>1.2153619131073681E-2</v>
      </c>
    </row>
    <row r="66" spans="1:17" x14ac:dyDescent="0.2">
      <c r="A66" s="1">
        <v>41339</v>
      </c>
      <c r="B66" s="2">
        <f t="shared" si="4"/>
        <v>13</v>
      </c>
      <c r="C66">
        <v>17.295522049999999</v>
      </c>
      <c r="D66">
        <v>15.5</v>
      </c>
      <c r="E66">
        <v>2.0771000800000001</v>
      </c>
      <c r="F66">
        <v>30.02147707</v>
      </c>
      <c r="G66">
        <v>7.9289669009999999</v>
      </c>
      <c r="H66">
        <v>0</v>
      </c>
      <c r="I66">
        <f t="shared" ref="I66:I129" si="6">C66+D66-E66</f>
        <v>30.718421970000001</v>
      </c>
      <c r="J66">
        <f t="shared" si="0"/>
        <v>32.795522050000002</v>
      </c>
      <c r="K66">
        <f t="shared" ref="K66:K129" si="7">I66-F66</f>
        <v>0.69694490000000187</v>
      </c>
      <c r="P66">
        <f t="shared" ref="P66:P129" si="8">K66/I66</f>
        <v>2.2688173913381588E-2</v>
      </c>
      <c r="Q66">
        <f t="shared" si="3"/>
        <v>2.1251221399599639E-2</v>
      </c>
    </row>
    <row r="67" spans="1:17" x14ac:dyDescent="0.2">
      <c r="A67" s="1">
        <v>41340</v>
      </c>
      <c r="B67" s="2">
        <f t="shared" si="4"/>
        <v>13</v>
      </c>
      <c r="C67">
        <v>30.02147707</v>
      </c>
      <c r="D67">
        <v>0</v>
      </c>
      <c r="E67">
        <v>1.9973194510000001</v>
      </c>
      <c r="F67">
        <v>28.022267540000001</v>
      </c>
      <c r="G67">
        <v>8.7346647199999996</v>
      </c>
      <c r="H67">
        <v>0</v>
      </c>
      <c r="I67">
        <f t="shared" si="6"/>
        <v>28.024157619</v>
      </c>
      <c r="J67">
        <f t="shared" ref="J67:J130" si="9">C67+D67</f>
        <v>30.02147707</v>
      </c>
      <c r="K67">
        <f t="shared" si="7"/>
        <v>1.8900789999989343E-3</v>
      </c>
      <c r="P67">
        <f t="shared" si="8"/>
        <v>6.7444632081197197E-5</v>
      </c>
      <c r="Q67">
        <f t="shared" ref="Q67:Q130" si="10">K67/J67</f>
        <v>6.2957561867855628E-5</v>
      </c>
    </row>
    <row r="68" spans="1:17" x14ac:dyDescent="0.2">
      <c r="A68" s="1">
        <v>41341</v>
      </c>
      <c r="B68" s="2">
        <f t="shared" ref="B68:B131" si="11">IF(D68&gt;0,B67+1,B67)</f>
        <v>13</v>
      </c>
      <c r="C68">
        <v>28.022267540000001</v>
      </c>
      <c r="D68">
        <v>0</v>
      </c>
      <c r="E68">
        <v>1.55838152</v>
      </c>
      <c r="F68">
        <v>26.299184830000002</v>
      </c>
      <c r="G68">
        <v>8.8325716199999995</v>
      </c>
      <c r="H68">
        <v>0</v>
      </c>
      <c r="I68">
        <f t="shared" si="6"/>
        <v>26.46388602</v>
      </c>
      <c r="J68">
        <f t="shared" si="9"/>
        <v>28.022267540000001</v>
      </c>
      <c r="K68">
        <f t="shared" si="7"/>
        <v>0.16470118999999883</v>
      </c>
      <c r="P68">
        <f t="shared" si="8"/>
        <v>6.2236207439650554E-3</v>
      </c>
      <c r="Q68">
        <f t="shared" si="10"/>
        <v>5.8775111530463544E-3</v>
      </c>
    </row>
    <row r="69" spans="1:17" x14ac:dyDescent="0.2">
      <c r="A69" s="1">
        <v>41342</v>
      </c>
      <c r="B69" s="2">
        <f t="shared" si="11"/>
        <v>13</v>
      </c>
      <c r="C69">
        <v>26.299184830000002</v>
      </c>
      <c r="D69">
        <v>0</v>
      </c>
      <c r="E69">
        <v>2.492973868</v>
      </c>
      <c r="F69">
        <v>23.805601559999999</v>
      </c>
      <c r="G69">
        <v>8.9185506369999992</v>
      </c>
      <c r="H69">
        <v>0</v>
      </c>
      <c r="I69">
        <f t="shared" si="6"/>
        <v>23.806210962000002</v>
      </c>
      <c r="J69">
        <f t="shared" si="9"/>
        <v>26.299184830000002</v>
      </c>
      <c r="K69">
        <f t="shared" si="7"/>
        <v>6.0940200000203504E-4</v>
      </c>
      <c r="P69">
        <f t="shared" si="8"/>
        <v>2.5598445757486395E-5</v>
      </c>
      <c r="Q69">
        <f t="shared" si="10"/>
        <v>2.3171896921568387E-5</v>
      </c>
    </row>
    <row r="70" spans="1:17" x14ac:dyDescent="0.2">
      <c r="A70" s="1">
        <v>41343</v>
      </c>
      <c r="B70" s="2">
        <f t="shared" si="11"/>
        <v>13</v>
      </c>
      <c r="C70">
        <v>23.805601559999999</v>
      </c>
      <c r="D70">
        <v>0</v>
      </c>
      <c r="E70">
        <v>5.4658030000000002</v>
      </c>
      <c r="F70">
        <v>18.29074189</v>
      </c>
      <c r="G70">
        <v>8.007440227</v>
      </c>
      <c r="H70">
        <v>0</v>
      </c>
      <c r="I70">
        <f t="shared" si="6"/>
        <v>18.339798559999998</v>
      </c>
      <c r="J70">
        <f t="shared" si="9"/>
        <v>23.805601559999999</v>
      </c>
      <c r="K70">
        <f t="shared" si="7"/>
        <v>4.9056669999998803E-2</v>
      </c>
      <c r="P70">
        <f t="shared" si="8"/>
        <v>2.674875072346422E-3</v>
      </c>
      <c r="Q70">
        <f t="shared" si="10"/>
        <v>2.0607196115735881E-3</v>
      </c>
    </row>
    <row r="71" spans="1:17" x14ac:dyDescent="0.2">
      <c r="A71" s="1">
        <v>41344</v>
      </c>
      <c r="B71" s="2">
        <f t="shared" si="11"/>
        <v>13</v>
      </c>
      <c r="C71">
        <v>18.29074189</v>
      </c>
      <c r="D71">
        <v>0</v>
      </c>
      <c r="E71">
        <v>2.9452095800000002</v>
      </c>
      <c r="F71">
        <v>15.156843240000001</v>
      </c>
      <c r="G71">
        <v>8.3405137570000001</v>
      </c>
      <c r="H71">
        <v>0</v>
      </c>
      <c r="I71">
        <f t="shared" si="6"/>
        <v>15.345532309999999</v>
      </c>
      <c r="J71">
        <f t="shared" si="9"/>
        <v>18.29074189</v>
      </c>
      <c r="K71">
        <f t="shared" si="7"/>
        <v>0.18868906999999879</v>
      </c>
      <c r="P71">
        <f t="shared" si="8"/>
        <v>1.2296026373554897E-2</v>
      </c>
      <c r="Q71">
        <f t="shared" si="10"/>
        <v>1.0316097134537761E-2</v>
      </c>
    </row>
    <row r="72" spans="1:17" x14ac:dyDescent="0.2">
      <c r="A72" s="1">
        <v>41345</v>
      </c>
      <c r="B72" s="2">
        <f t="shared" si="11"/>
        <v>13</v>
      </c>
      <c r="C72">
        <v>15.156843240000001</v>
      </c>
      <c r="D72">
        <v>0</v>
      </c>
      <c r="E72">
        <v>3.724621929</v>
      </c>
      <c r="F72">
        <v>10.848260570000001</v>
      </c>
      <c r="G72">
        <v>8.1009012770000002</v>
      </c>
      <c r="H72">
        <v>0</v>
      </c>
      <c r="I72">
        <f t="shared" si="6"/>
        <v>11.432221311000001</v>
      </c>
      <c r="J72">
        <f t="shared" si="9"/>
        <v>15.156843240000001</v>
      </c>
      <c r="K72">
        <f t="shared" si="7"/>
        <v>0.58396074100000028</v>
      </c>
      <c r="P72">
        <f t="shared" si="8"/>
        <v>5.1080251607630918E-2</v>
      </c>
      <c r="Q72">
        <f t="shared" si="10"/>
        <v>3.852786043593074E-2</v>
      </c>
    </row>
    <row r="73" spans="1:17" x14ac:dyDescent="0.2">
      <c r="A73" s="1">
        <v>41346</v>
      </c>
      <c r="B73" s="2">
        <f t="shared" si="11"/>
        <v>13</v>
      </c>
      <c r="C73">
        <v>10.848260570000001</v>
      </c>
      <c r="D73">
        <v>0</v>
      </c>
      <c r="E73">
        <v>3.0039346029999998</v>
      </c>
      <c r="F73">
        <v>7.8392433280000002</v>
      </c>
      <c r="G73">
        <v>8.4585778289999993</v>
      </c>
      <c r="H73">
        <v>0</v>
      </c>
      <c r="I73">
        <f t="shared" si="6"/>
        <v>7.8443259670000014</v>
      </c>
      <c r="J73">
        <f t="shared" si="9"/>
        <v>10.848260570000001</v>
      </c>
      <c r="K73">
        <f t="shared" si="7"/>
        <v>5.0826390000011656E-3</v>
      </c>
      <c r="P73">
        <f t="shared" si="8"/>
        <v>6.4793827046238613E-4</v>
      </c>
      <c r="Q73">
        <f t="shared" si="10"/>
        <v>4.6852110227300388E-4</v>
      </c>
    </row>
    <row r="74" spans="1:17" x14ac:dyDescent="0.2">
      <c r="A74" s="1">
        <v>41347</v>
      </c>
      <c r="B74" s="2">
        <f t="shared" si="11"/>
        <v>13</v>
      </c>
      <c r="C74">
        <v>7.8392433280000002</v>
      </c>
      <c r="D74">
        <v>0</v>
      </c>
      <c r="E74">
        <v>3.2481312510000002</v>
      </c>
      <c r="F74">
        <v>4.5221177939999997</v>
      </c>
      <c r="G74">
        <v>8.1109650139999996</v>
      </c>
      <c r="H74">
        <v>0</v>
      </c>
      <c r="I74">
        <f t="shared" si="6"/>
        <v>4.591112077</v>
      </c>
      <c r="J74">
        <f t="shared" si="9"/>
        <v>7.8392433280000002</v>
      </c>
      <c r="K74">
        <f t="shared" si="7"/>
        <v>6.8994283000000323E-2</v>
      </c>
      <c r="P74">
        <f t="shared" si="8"/>
        <v>1.5027793232415206E-2</v>
      </c>
      <c r="Q74">
        <f t="shared" si="10"/>
        <v>8.8011406347814694E-3</v>
      </c>
    </row>
    <row r="75" spans="1:17" x14ac:dyDescent="0.2">
      <c r="A75" s="1">
        <v>41348</v>
      </c>
      <c r="B75" s="2">
        <f t="shared" si="11"/>
        <v>13</v>
      </c>
      <c r="C75">
        <v>4.5221177939999997</v>
      </c>
      <c r="D75">
        <v>0</v>
      </c>
      <c r="E75">
        <v>3.3639473020000001</v>
      </c>
      <c r="F75">
        <v>1.094408032</v>
      </c>
      <c r="G75">
        <v>7.5101243650000002</v>
      </c>
      <c r="H75">
        <v>0</v>
      </c>
      <c r="I75">
        <f t="shared" si="6"/>
        <v>1.1581704919999996</v>
      </c>
      <c r="J75">
        <f t="shared" si="9"/>
        <v>4.5221177939999997</v>
      </c>
      <c r="K75">
        <f t="shared" si="7"/>
        <v>6.3762459999999521E-2</v>
      </c>
      <c r="P75">
        <f t="shared" si="8"/>
        <v>5.5054467749295365E-2</v>
      </c>
      <c r="Q75">
        <f t="shared" si="10"/>
        <v>1.4100132483191906E-2</v>
      </c>
    </row>
    <row r="76" spans="1:17" x14ac:dyDescent="0.2">
      <c r="A76" s="1">
        <v>41349</v>
      </c>
      <c r="B76" s="2">
        <f t="shared" si="11"/>
        <v>14</v>
      </c>
      <c r="C76">
        <v>1.094408032</v>
      </c>
      <c r="D76">
        <v>14.3</v>
      </c>
      <c r="E76">
        <v>5.7165968439999997</v>
      </c>
      <c r="F76">
        <v>9.6718711339999999</v>
      </c>
      <c r="G76">
        <v>8.1142350509999996</v>
      </c>
      <c r="H76">
        <v>0</v>
      </c>
      <c r="I76">
        <f t="shared" si="6"/>
        <v>9.6778111880000015</v>
      </c>
      <c r="J76">
        <f t="shared" si="9"/>
        <v>15.394408032000001</v>
      </c>
      <c r="K76">
        <f t="shared" si="7"/>
        <v>5.9400540000016377E-3</v>
      </c>
      <c r="P76">
        <f t="shared" si="8"/>
        <v>6.1378072837037841E-4</v>
      </c>
      <c r="Q76">
        <f t="shared" si="10"/>
        <v>3.8585790292515205E-4</v>
      </c>
    </row>
    <row r="77" spans="1:17" x14ac:dyDescent="0.2">
      <c r="A77" s="1">
        <v>41350</v>
      </c>
      <c r="B77" s="2">
        <f t="shared" si="11"/>
        <v>14</v>
      </c>
      <c r="C77">
        <v>9.6718711339999999</v>
      </c>
      <c r="D77">
        <v>0</v>
      </c>
      <c r="E77">
        <v>2.8952623380000002</v>
      </c>
      <c r="F77">
        <v>6.7661780809999996</v>
      </c>
      <c r="G77">
        <v>7.950443623</v>
      </c>
      <c r="H77">
        <v>0</v>
      </c>
      <c r="I77">
        <f t="shared" si="6"/>
        <v>6.7766087959999997</v>
      </c>
      <c r="J77">
        <f t="shared" si="9"/>
        <v>9.6718711339999999</v>
      </c>
      <c r="K77">
        <f t="shared" si="7"/>
        <v>1.0430715000000035E-2</v>
      </c>
      <c r="P77">
        <f t="shared" si="8"/>
        <v>1.5392234248724716E-3</v>
      </c>
      <c r="Q77">
        <f t="shared" si="10"/>
        <v>1.0784588478781974E-3</v>
      </c>
    </row>
    <row r="78" spans="1:17" x14ac:dyDescent="0.2">
      <c r="A78" s="1">
        <v>41351</v>
      </c>
      <c r="B78" s="2">
        <f t="shared" si="11"/>
        <v>14</v>
      </c>
      <c r="C78">
        <v>6.7661780809999996</v>
      </c>
      <c r="D78">
        <v>0</v>
      </c>
      <c r="E78">
        <v>3.0381376430000002</v>
      </c>
      <c r="F78">
        <v>3.6030852050000002</v>
      </c>
      <c r="G78">
        <v>7.9888118710000002</v>
      </c>
      <c r="H78">
        <v>0</v>
      </c>
      <c r="I78">
        <f t="shared" si="6"/>
        <v>3.7280404379999994</v>
      </c>
      <c r="J78">
        <f t="shared" si="9"/>
        <v>6.7661780809999996</v>
      </c>
      <c r="K78">
        <f t="shared" si="7"/>
        <v>0.12495523299999922</v>
      </c>
      <c r="P78">
        <f t="shared" si="8"/>
        <v>3.3517671033373928E-2</v>
      </c>
      <c r="Q78">
        <f t="shared" si="10"/>
        <v>1.8467624041833022E-2</v>
      </c>
    </row>
    <row r="79" spans="1:17" x14ac:dyDescent="0.2">
      <c r="A79" s="1">
        <v>41352</v>
      </c>
      <c r="B79" s="2">
        <f t="shared" si="11"/>
        <v>15</v>
      </c>
      <c r="C79">
        <v>3.6030852050000002</v>
      </c>
      <c r="D79">
        <v>15.3</v>
      </c>
      <c r="E79">
        <v>2.3652515269999999</v>
      </c>
      <c r="F79">
        <v>16.531203959999999</v>
      </c>
      <c r="G79">
        <v>7.969773376</v>
      </c>
      <c r="H79">
        <v>0</v>
      </c>
      <c r="I79">
        <f t="shared" si="6"/>
        <v>16.537833677999998</v>
      </c>
      <c r="J79">
        <f t="shared" si="9"/>
        <v>18.903085205</v>
      </c>
      <c r="K79">
        <f t="shared" si="7"/>
        <v>6.6297179999992295E-3</v>
      </c>
      <c r="P79">
        <f t="shared" si="8"/>
        <v>4.0088188870944031E-4</v>
      </c>
      <c r="Q79">
        <f t="shared" si="10"/>
        <v>3.5072147895972146E-4</v>
      </c>
    </row>
    <row r="80" spans="1:17" x14ac:dyDescent="0.2">
      <c r="A80" s="1">
        <v>41353</v>
      </c>
      <c r="B80" s="2">
        <f t="shared" si="11"/>
        <v>15</v>
      </c>
      <c r="C80">
        <v>16.531203959999999</v>
      </c>
      <c r="D80">
        <v>0</v>
      </c>
      <c r="E80">
        <v>3.9550560269999999</v>
      </c>
      <c r="F80">
        <v>12.138878500000001</v>
      </c>
      <c r="G80">
        <v>8.0554770449999999</v>
      </c>
      <c r="H80">
        <v>0</v>
      </c>
      <c r="I80">
        <f t="shared" si="6"/>
        <v>12.576147933</v>
      </c>
      <c r="J80">
        <f t="shared" si="9"/>
        <v>16.531203959999999</v>
      </c>
      <c r="K80">
        <f t="shared" si="7"/>
        <v>0.4372694329999991</v>
      </c>
      <c r="P80">
        <f t="shared" si="8"/>
        <v>3.4769743114471292E-2</v>
      </c>
      <c r="Q80">
        <f t="shared" si="10"/>
        <v>2.6451154680448279E-2</v>
      </c>
    </row>
    <row r="81" spans="1:17" x14ac:dyDescent="0.2">
      <c r="A81" s="1">
        <v>41354</v>
      </c>
      <c r="B81" s="2">
        <f t="shared" si="11"/>
        <v>15</v>
      </c>
      <c r="C81">
        <v>12.138878500000001</v>
      </c>
      <c r="D81">
        <v>0</v>
      </c>
      <c r="E81">
        <v>2.7473281190000001</v>
      </c>
      <c r="F81">
        <v>9.3232154010000006</v>
      </c>
      <c r="G81">
        <v>7.9951242699999998</v>
      </c>
      <c r="H81">
        <v>0</v>
      </c>
      <c r="I81">
        <f t="shared" si="6"/>
        <v>9.3915503810000001</v>
      </c>
      <c r="J81">
        <f t="shared" si="9"/>
        <v>12.138878500000001</v>
      </c>
      <c r="K81">
        <f t="shared" si="7"/>
        <v>6.833497999999949E-2</v>
      </c>
      <c r="P81">
        <f t="shared" si="8"/>
        <v>7.2762192851829506E-3</v>
      </c>
      <c r="Q81">
        <f t="shared" si="10"/>
        <v>5.6294310878883484E-3</v>
      </c>
    </row>
    <row r="82" spans="1:17" x14ac:dyDescent="0.2">
      <c r="A82" s="1">
        <v>41355</v>
      </c>
      <c r="B82" s="2">
        <f t="shared" si="11"/>
        <v>15</v>
      </c>
      <c r="C82">
        <v>9.3232154010000006</v>
      </c>
      <c r="D82">
        <v>0</v>
      </c>
      <c r="E82">
        <v>2.8523339270000001</v>
      </c>
      <c r="F82">
        <v>6.4701379699999997</v>
      </c>
      <c r="G82">
        <v>8.170673936</v>
      </c>
      <c r="H82">
        <v>0</v>
      </c>
      <c r="I82">
        <f t="shared" si="6"/>
        <v>6.4708814740000005</v>
      </c>
      <c r="J82">
        <f t="shared" si="9"/>
        <v>9.3232154010000006</v>
      </c>
      <c r="K82">
        <f t="shared" si="7"/>
        <v>7.4350400000078309E-4</v>
      </c>
      <c r="P82">
        <f t="shared" si="8"/>
        <v>1.1489995651878062E-4</v>
      </c>
      <c r="Q82">
        <f t="shared" si="10"/>
        <v>7.9747594367607927E-5</v>
      </c>
    </row>
    <row r="83" spans="1:17" x14ac:dyDescent="0.2">
      <c r="A83" s="1">
        <v>41356</v>
      </c>
      <c r="B83" s="2">
        <f t="shared" si="11"/>
        <v>16</v>
      </c>
      <c r="C83">
        <v>6.4701379699999997</v>
      </c>
      <c r="D83">
        <v>14.3</v>
      </c>
      <c r="E83">
        <v>3.2836979890000002</v>
      </c>
      <c r="F83">
        <v>16.768868560000001</v>
      </c>
      <c r="G83">
        <v>8.4467729560000002</v>
      </c>
      <c r="H83">
        <v>0</v>
      </c>
      <c r="I83">
        <f t="shared" si="6"/>
        <v>17.486439981</v>
      </c>
      <c r="J83">
        <f t="shared" si="9"/>
        <v>20.77013797</v>
      </c>
      <c r="K83">
        <f t="shared" si="7"/>
        <v>0.71757142099999882</v>
      </c>
      <c r="P83">
        <f t="shared" si="8"/>
        <v>4.1035878187880466E-2</v>
      </c>
      <c r="Q83">
        <f t="shared" si="10"/>
        <v>3.4548226017393123E-2</v>
      </c>
    </row>
    <row r="84" spans="1:17" x14ac:dyDescent="0.2">
      <c r="A84" s="1">
        <v>41357</v>
      </c>
      <c r="B84" s="2">
        <f t="shared" si="11"/>
        <v>16</v>
      </c>
      <c r="C84">
        <v>16.768868560000001</v>
      </c>
      <c r="D84">
        <v>0</v>
      </c>
      <c r="E84">
        <v>3.3501009850000001</v>
      </c>
      <c r="F84">
        <v>13.176724399999999</v>
      </c>
      <c r="G84">
        <v>8.4595369569999992</v>
      </c>
      <c r="H84">
        <v>0</v>
      </c>
      <c r="I84">
        <f t="shared" si="6"/>
        <v>13.418767575</v>
      </c>
      <c r="J84">
        <f t="shared" si="9"/>
        <v>16.768868560000001</v>
      </c>
      <c r="K84">
        <f t="shared" si="7"/>
        <v>0.24204317500000094</v>
      </c>
      <c r="P84">
        <f t="shared" si="8"/>
        <v>1.8037660585979776E-2</v>
      </c>
      <c r="Q84">
        <f t="shared" si="10"/>
        <v>1.4434079087325193E-2</v>
      </c>
    </row>
    <row r="85" spans="1:17" x14ac:dyDescent="0.2">
      <c r="A85" s="1">
        <v>41358</v>
      </c>
      <c r="B85" s="2">
        <f t="shared" si="11"/>
        <v>16</v>
      </c>
      <c r="C85">
        <v>13.176724399999999</v>
      </c>
      <c r="D85">
        <v>0</v>
      </c>
      <c r="E85">
        <v>4.3988835120000003</v>
      </c>
      <c r="F85">
        <v>8.6388239099999993</v>
      </c>
      <c r="G85">
        <v>8.2925108319999996</v>
      </c>
      <c r="H85">
        <v>0</v>
      </c>
      <c r="I85">
        <f t="shared" si="6"/>
        <v>8.7778408880000001</v>
      </c>
      <c r="J85">
        <f t="shared" si="9"/>
        <v>13.176724399999999</v>
      </c>
      <c r="K85">
        <f t="shared" si="7"/>
        <v>0.13901697800000079</v>
      </c>
      <c r="P85">
        <f t="shared" si="8"/>
        <v>1.5837263374191248E-2</v>
      </c>
      <c r="Q85">
        <f t="shared" si="10"/>
        <v>1.0550192428704117E-2</v>
      </c>
    </row>
    <row r="86" spans="1:17" x14ac:dyDescent="0.2">
      <c r="A86" s="1">
        <v>41359</v>
      </c>
      <c r="B86" s="2">
        <f t="shared" si="11"/>
        <v>16</v>
      </c>
      <c r="C86">
        <v>8.6388239099999993</v>
      </c>
      <c r="D86">
        <v>0</v>
      </c>
      <c r="E86">
        <v>4.7810398640000003</v>
      </c>
      <c r="F86">
        <v>3.8005675029999999</v>
      </c>
      <c r="G86">
        <v>7.9683529039999996</v>
      </c>
      <c r="H86">
        <v>0</v>
      </c>
      <c r="I86">
        <f t="shared" si="6"/>
        <v>3.857784045999999</v>
      </c>
      <c r="J86">
        <f t="shared" si="9"/>
        <v>8.6388239099999993</v>
      </c>
      <c r="K86">
        <f t="shared" si="7"/>
        <v>5.721654299999912E-2</v>
      </c>
      <c r="P86">
        <f t="shared" si="8"/>
        <v>1.4831453061589839E-2</v>
      </c>
      <c r="Q86">
        <f t="shared" si="10"/>
        <v>6.6231866277268667E-3</v>
      </c>
    </row>
    <row r="87" spans="1:17" x14ac:dyDescent="0.2">
      <c r="A87" s="1">
        <v>41360</v>
      </c>
      <c r="B87" s="2">
        <f t="shared" si="11"/>
        <v>17</v>
      </c>
      <c r="C87">
        <v>3.8005675029999999</v>
      </c>
      <c r="D87">
        <v>14.4</v>
      </c>
      <c r="E87">
        <v>1.924619643</v>
      </c>
      <c r="F87">
        <v>16.214856730000001</v>
      </c>
      <c r="G87">
        <v>8.9227381690000005</v>
      </c>
      <c r="H87">
        <v>0</v>
      </c>
      <c r="I87">
        <f t="shared" si="6"/>
        <v>16.275947860000002</v>
      </c>
      <c r="J87">
        <f t="shared" si="9"/>
        <v>18.200567503000002</v>
      </c>
      <c r="K87">
        <f t="shared" si="7"/>
        <v>6.1091130000001215E-2</v>
      </c>
      <c r="P87">
        <f t="shared" si="8"/>
        <v>3.7534606602015255E-3</v>
      </c>
      <c r="Q87">
        <f t="shared" si="10"/>
        <v>3.3565508322711121E-3</v>
      </c>
    </row>
    <row r="88" spans="1:17" x14ac:dyDescent="0.2">
      <c r="A88" s="1">
        <v>41361</v>
      </c>
      <c r="B88" s="2">
        <f t="shared" si="11"/>
        <v>17</v>
      </c>
      <c r="C88">
        <v>16.214856730000001</v>
      </c>
      <c r="D88">
        <v>0</v>
      </c>
      <c r="E88">
        <v>2.0240626800000001</v>
      </c>
      <c r="F88">
        <v>14.14677698</v>
      </c>
      <c r="G88">
        <v>9.1128676219999996</v>
      </c>
      <c r="H88">
        <v>0</v>
      </c>
      <c r="I88">
        <f t="shared" si="6"/>
        <v>14.190794050000001</v>
      </c>
      <c r="J88">
        <f t="shared" si="9"/>
        <v>16.214856730000001</v>
      </c>
      <c r="K88">
        <f t="shared" si="7"/>
        <v>4.4017070000000658E-2</v>
      </c>
      <c r="P88">
        <f t="shared" si="8"/>
        <v>3.1018045815414154E-3</v>
      </c>
      <c r="Q88">
        <f t="shared" si="10"/>
        <v>2.714613562916177E-3</v>
      </c>
    </row>
    <row r="89" spans="1:17" x14ac:dyDescent="0.2">
      <c r="A89" s="1">
        <v>41362</v>
      </c>
      <c r="B89" s="2">
        <f t="shared" si="11"/>
        <v>17</v>
      </c>
      <c r="C89">
        <v>14.14677698</v>
      </c>
      <c r="D89">
        <v>0</v>
      </c>
      <c r="E89">
        <v>2.3413679159999998</v>
      </c>
      <c r="F89">
        <v>11.74828503</v>
      </c>
      <c r="G89">
        <v>8.4757760599999994</v>
      </c>
      <c r="H89">
        <v>0</v>
      </c>
      <c r="I89">
        <f t="shared" si="6"/>
        <v>11.805409064000001</v>
      </c>
      <c r="J89">
        <f t="shared" si="9"/>
        <v>14.14677698</v>
      </c>
      <c r="K89">
        <f t="shared" si="7"/>
        <v>5.7124034000000989E-2</v>
      </c>
      <c r="P89">
        <f t="shared" si="8"/>
        <v>4.838801746751652E-3</v>
      </c>
      <c r="Q89">
        <f t="shared" si="10"/>
        <v>4.0379539509783798E-3</v>
      </c>
    </row>
    <row r="90" spans="1:17" x14ac:dyDescent="0.2">
      <c r="A90" s="1">
        <v>41363</v>
      </c>
      <c r="B90" s="2">
        <f t="shared" si="11"/>
        <v>17</v>
      </c>
      <c r="C90">
        <v>11.74828503</v>
      </c>
      <c r="D90">
        <v>0</v>
      </c>
      <c r="E90">
        <v>1.361484157</v>
      </c>
      <c r="F90">
        <v>10.35699417</v>
      </c>
      <c r="G90">
        <v>7.9919455580000003</v>
      </c>
      <c r="H90">
        <v>0</v>
      </c>
      <c r="I90">
        <f t="shared" si="6"/>
        <v>10.386800873</v>
      </c>
      <c r="J90">
        <f t="shared" si="9"/>
        <v>11.74828503</v>
      </c>
      <c r="K90">
        <f t="shared" si="7"/>
        <v>2.9806703000000212E-2</v>
      </c>
      <c r="P90">
        <f t="shared" si="8"/>
        <v>2.8696711686734397E-3</v>
      </c>
      <c r="Q90">
        <f t="shared" si="10"/>
        <v>2.537110984614936E-3</v>
      </c>
    </row>
    <row r="91" spans="1:17" x14ac:dyDescent="0.2">
      <c r="A91" s="1">
        <v>41364</v>
      </c>
      <c r="B91" s="2">
        <f t="shared" si="11"/>
        <v>17</v>
      </c>
      <c r="C91">
        <v>10.35699417</v>
      </c>
      <c r="D91">
        <v>0</v>
      </c>
      <c r="E91">
        <v>2.4914282430000001</v>
      </c>
      <c r="F91">
        <v>7.186360079</v>
      </c>
      <c r="G91">
        <v>8.2464030439999991</v>
      </c>
      <c r="H91">
        <v>0</v>
      </c>
      <c r="I91">
        <f t="shared" si="6"/>
        <v>7.8655659270000005</v>
      </c>
      <c r="J91">
        <f t="shared" si="9"/>
        <v>10.35699417</v>
      </c>
      <c r="K91">
        <f t="shared" si="7"/>
        <v>0.6792058480000005</v>
      </c>
      <c r="P91">
        <f t="shared" si="8"/>
        <v>8.6351809177328431E-2</v>
      </c>
      <c r="Q91">
        <f t="shared" si="10"/>
        <v>6.557943712736497E-2</v>
      </c>
    </row>
    <row r="92" spans="1:17" x14ac:dyDescent="0.2">
      <c r="A92" s="1">
        <v>41365</v>
      </c>
      <c r="B92" s="2">
        <f t="shared" si="11"/>
        <v>18</v>
      </c>
      <c r="C92">
        <v>7.186360079</v>
      </c>
      <c r="D92">
        <v>15.6</v>
      </c>
      <c r="E92">
        <v>3.0161764089999998</v>
      </c>
      <c r="F92">
        <v>19.74047977</v>
      </c>
      <c r="G92">
        <v>8.4080313239999995</v>
      </c>
      <c r="H92">
        <v>0</v>
      </c>
      <c r="I92">
        <f t="shared" si="6"/>
        <v>19.770183669999998</v>
      </c>
      <c r="J92">
        <f t="shared" si="9"/>
        <v>22.786360078999998</v>
      </c>
      <c r="K92">
        <f t="shared" si="7"/>
        <v>2.9703899999997674E-2</v>
      </c>
      <c r="P92">
        <f t="shared" si="8"/>
        <v>1.5024594862551258E-3</v>
      </c>
      <c r="Q92">
        <f t="shared" si="10"/>
        <v>1.3035824895689641E-3</v>
      </c>
    </row>
    <row r="93" spans="1:17" x14ac:dyDescent="0.2">
      <c r="A93" s="1">
        <v>41366</v>
      </c>
      <c r="B93" s="2">
        <f t="shared" si="11"/>
        <v>18</v>
      </c>
      <c r="C93">
        <v>19.74047977</v>
      </c>
      <c r="D93">
        <v>0</v>
      </c>
      <c r="E93">
        <v>1.674935039</v>
      </c>
      <c r="F93">
        <v>18.065534589999999</v>
      </c>
      <c r="G93">
        <v>7.9676434360000004</v>
      </c>
      <c r="H93">
        <v>0</v>
      </c>
      <c r="I93">
        <f t="shared" si="6"/>
        <v>18.065544730999999</v>
      </c>
      <c r="J93">
        <f t="shared" si="9"/>
        <v>19.74047977</v>
      </c>
      <c r="K93">
        <f t="shared" si="7"/>
        <v>1.0141000000629674E-5</v>
      </c>
      <c r="P93">
        <f t="shared" si="8"/>
        <v>5.6134482251332197E-7</v>
      </c>
      <c r="Q93">
        <f t="shared" si="10"/>
        <v>5.1371598455480067E-7</v>
      </c>
    </row>
    <row r="94" spans="1:17" x14ac:dyDescent="0.2">
      <c r="A94" s="1">
        <v>41367</v>
      </c>
      <c r="B94" s="2">
        <f t="shared" si="11"/>
        <v>18</v>
      </c>
      <c r="C94">
        <v>18.065534589999999</v>
      </c>
      <c r="D94">
        <v>0</v>
      </c>
      <c r="E94">
        <v>2.965147655</v>
      </c>
      <c r="F94">
        <v>15.05069774</v>
      </c>
      <c r="G94">
        <v>7.9577764279999998</v>
      </c>
      <c r="H94">
        <v>0</v>
      </c>
      <c r="I94">
        <f t="shared" si="6"/>
        <v>15.100386935</v>
      </c>
      <c r="J94">
        <f t="shared" si="9"/>
        <v>18.065534589999999</v>
      </c>
      <c r="K94">
        <f t="shared" si="7"/>
        <v>4.9689194999999131E-2</v>
      </c>
      <c r="P94">
        <f t="shared" si="8"/>
        <v>3.2905908447172605E-3</v>
      </c>
      <c r="Q94">
        <f t="shared" si="10"/>
        <v>2.7504967955669633E-3</v>
      </c>
    </row>
    <row r="95" spans="1:17" x14ac:dyDescent="0.2">
      <c r="A95" s="1">
        <v>41368</v>
      </c>
      <c r="B95" s="2">
        <f t="shared" si="11"/>
        <v>18</v>
      </c>
      <c r="C95">
        <v>15.05069774</v>
      </c>
      <c r="D95">
        <v>0</v>
      </c>
      <c r="E95">
        <v>2.0766854129999999</v>
      </c>
      <c r="F95">
        <v>12.92370693</v>
      </c>
      <c r="G95">
        <v>7.9077551100000001</v>
      </c>
      <c r="H95">
        <v>0</v>
      </c>
      <c r="I95">
        <f t="shared" si="6"/>
        <v>12.974012327000001</v>
      </c>
      <c r="J95">
        <f t="shared" si="9"/>
        <v>15.05069774</v>
      </c>
      <c r="K95">
        <f t="shared" si="7"/>
        <v>5.0305397000000696E-2</v>
      </c>
      <c r="P95">
        <f t="shared" si="8"/>
        <v>3.8773970404907799E-3</v>
      </c>
      <c r="Q95">
        <f t="shared" si="10"/>
        <v>3.3423963373010171E-3</v>
      </c>
    </row>
    <row r="96" spans="1:17" x14ac:dyDescent="0.2">
      <c r="A96" s="1">
        <v>41369</v>
      </c>
      <c r="B96" s="2">
        <f t="shared" si="11"/>
        <v>18</v>
      </c>
      <c r="C96">
        <v>12.92370693</v>
      </c>
      <c r="D96">
        <v>0</v>
      </c>
      <c r="E96">
        <v>4.0718625509999997</v>
      </c>
      <c r="F96">
        <v>8.8117459300000007</v>
      </c>
      <c r="G96">
        <v>8.1025486670000006</v>
      </c>
      <c r="H96">
        <v>0</v>
      </c>
      <c r="I96">
        <f t="shared" si="6"/>
        <v>8.8518443789999992</v>
      </c>
      <c r="J96">
        <f t="shared" si="9"/>
        <v>12.92370693</v>
      </c>
      <c r="K96">
        <f t="shared" si="7"/>
        <v>4.0098448999998482E-2</v>
      </c>
      <c r="P96">
        <f t="shared" si="8"/>
        <v>4.5299541296870876E-3</v>
      </c>
      <c r="Q96">
        <f t="shared" si="10"/>
        <v>3.1027049140922047E-3</v>
      </c>
    </row>
    <row r="97" spans="1:17" x14ac:dyDescent="0.2">
      <c r="A97" s="1">
        <v>41370</v>
      </c>
      <c r="B97" s="2">
        <f t="shared" si="11"/>
        <v>18</v>
      </c>
      <c r="C97">
        <v>8.8117459300000007</v>
      </c>
      <c r="D97">
        <v>0</v>
      </c>
      <c r="E97">
        <v>3.2225937340000002</v>
      </c>
      <c r="F97">
        <v>5.515038133</v>
      </c>
      <c r="G97">
        <v>8.1198236920000006</v>
      </c>
      <c r="H97">
        <v>0</v>
      </c>
      <c r="I97">
        <f t="shared" si="6"/>
        <v>5.5891521960000006</v>
      </c>
      <c r="J97">
        <f t="shared" si="9"/>
        <v>8.8117459300000007</v>
      </c>
      <c r="K97">
        <f t="shared" si="7"/>
        <v>7.4114063000000563E-2</v>
      </c>
      <c r="P97">
        <f t="shared" si="8"/>
        <v>1.3260340817528984E-2</v>
      </c>
      <c r="Q97">
        <f t="shared" si="10"/>
        <v>8.4108261391962931E-3</v>
      </c>
    </row>
    <row r="98" spans="1:17" x14ac:dyDescent="0.2">
      <c r="A98" s="1">
        <v>41371</v>
      </c>
      <c r="B98" s="2">
        <f t="shared" si="11"/>
        <v>19</v>
      </c>
      <c r="C98">
        <v>5.515038133</v>
      </c>
      <c r="D98">
        <v>9.9</v>
      </c>
      <c r="E98">
        <v>2.7744039410000001</v>
      </c>
      <c r="F98">
        <v>12.61840421</v>
      </c>
      <c r="G98">
        <v>8.2307128630000008</v>
      </c>
      <c r="H98">
        <v>0</v>
      </c>
      <c r="I98">
        <f t="shared" si="6"/>
        <v>12.640634192</v>
      </c>
      <c r="J98">
        <f t="shared" si="9"/>
        <v>15.415038132999999</v>
      </c>
      <c r="K98">
        <f t="shared" si="7"/>
        <v>2.2229982000000703E-2</v>
      </c>
      <c r="P98">
        <f t="shared" si="8"/>
        <v>1.7586128719767561E-3</v>
      </c>
      <c r="Q98">
        <f t="shared" si="10"/>
        <v>1.4420971137535819E-3</v>
      </c>
    </row>
    <row r="99" spans="1:17" x14ac:dyDescent="0.2">
      <c r="A99" s="1">
        <v>41372</v>
      </c>
      <c r="B99" s="2">
        <f t="shared" si="11"/>
        <v>19</v>
      </c>
      <c r="C99">
        <v>12.61840421</v>
      </c>
      <c r="D99">
        <v>0</v>
      </c>
      <c r="E99">
        <v>1.5814903259999999</v>
      </c>
      <c r="F99">
        <v>11.02740985</v>
      </c>
      <c r="G99">
        <v>7.9388680100000002</v>
      </c>
      <c r="H99">
        <v>0</v>
      </c>
      <c r="I99">
        <f t="shared" si="6"/>
        <v>11.036913884000001</v>
      </c>
      <c r="J99">
        <f t="shared" si="9"/>
        <v>12.61840421</v>
      </c>
      <c r="K99">
        <f t="shared" si="7"/>
        <v>9.5040340000007717E-3</v>
      </c>
      <c r="P99">
        <f t="shared" si="8"/>
        <v>8.6111336011949731E-4</v>
      </c>
      <c r="Q99">
        <f t="shared" si="10"/>
        <v>7.5318826706065485E-4</v>
      </c>
    </row>
    <row r="100" spans="1:17" x14ac:dyDescent="0.2">
      <c r="A100" s="1">
        <v>41373</v>
      </c>
      <c r="B100" s="2">
        <f t="shared" si="11"/>
        <v>19</v>
      </c>
      <c r="C100">
        <v>11.02740985</v>
      </c>
      <c r="D100">
        <v>0</v>
      </c>
      <c r="E100">
        <v>4.6456824990000003</v>
      </c>
      <c r="F100">
        <v>6.212335597</v>
      </c>
      <c r="G100">
        <v>8.617311398</v>
      </c>
      <c r="H100">
        <v>0</v>
      </c>
      <c r="I100">
        <f t="shared" si="6"/>
        <v>6.3817273509999994</v>
      </c>
      <c r="J100">
        <f t="shared" si="9"/>
        <v>11.02740985</v>
      </c>
      <c r="K100">
        <f t="shared" si="7"/>
        <v>0.16939175399999939</v>
      </c>
      <c r="P100">
        <f t="shared" si="8"/>
        <v>2.6543245219251832E-2</v>
      </c>
      <c r="Q100">
        <f t="shared" si="10"/>
        <v>1.5360973819250891E-2</v>
      </c>
    </row>
    <row r="101" spans="1:17" x14ac:dyDescent="0.2">
      <c r="A101" s="1">
        <v>41374</v>
      </c>
      <c r="B101" s="2">
        <f t="shared" si="11"/>
        <v>20</v>
      </c>
      <c r="C101">
        <v>6.212335597</v>
      </c>
      <c r="D101">
        <v>24.5</v>
      </c>
      <c r="E101">
        <v>11.626000749999999</v>
      </c>
      <c r="F101">
        <v>19.085602919999999</v>
      </c>
      <c r="G101">
        <v>5.3271124160000003</v>
      </c>
      <c r="H101">
        <v>0</v>
      </c>
      <c r="I101">
        <f t="shared" si="6"/>
        <v>19.086334847</v>
      </c>
      <c r="J101">
        <f t="shared" si="9"/>
        <v>30.712335596999999</v>
      </c>
      <c r="K101">
        <f t="shared" si="7"/>
        <v>7.3192700000035416E-4</v>
      </c>
      <c r="P101">
        <f t="shared" si="8"/>
        <v>3.8348221691992312E-5</v>
      </c>
      <c r="Q101">
        <f t="shared" si="10"/>
        <v>2.3831694521853598E-5</v>
      </c>
    </row>
    <row r="102" spans="1:17" x14ac:dyDescent="0.2">
      <c r="A102" s="1">
        <v>41375</v>
      </c>
      <c r="B102" s="2">
        <f t="shared" si="11"/>
        <v>20</v>
      </c>
      <c r="C102">
        <v>19.085602919999999</v>
      </c>
      <c r="D102">
        <v>0</v>
      </c>
      <c r="E102">
        <v>6.573383368</v>
      </c>
      <c r="F102">
        <v>12.50841031</v>
      </c>
      <c r="G102">
        <v>5.3723192989999999</v>
      </c>
      <c r="H102">
        <v>0</v>
      </c>
      <c r="I102">
        <f t="shared" si="6"/>
        <v>12.512219551999999</v>
      </c>
      <c r="J102">
        <f t="shared" si="9"/>
        <v>19.085602919999999</v>
      </c>
      <c r="K102">
        <f t="shared" si="7"/>
        <v>3.8092419999991023E-3</v>
      </c>
      <c r="P102">
        <f t="shared" si="8"/>
        <v>3.0444174865763276E-4</v>
      </c>
      <c r="Q102">
        <f t="shared" si="10"/>
        <v>1.9958719753135795E-4</v>
      </c>
    </row>
    <row r="103" spans="1:17" x14ac:dyDescent="0.2">
      <c r="A103" s="1">
        <v>41376</v>
      </c>
      <c r="B103" s="2">
        <f t="shared" si="11"/>
        <v>21</v>
      </c>
      <c r="C103">
        <v>12.50841031</v>
      </c>
      <c r="D103">
        <v>14.5</v>
      </c>
      <c r="E103">
        <v>5.8223977939999996</v>
      </c>
      <c r="F103">
        <v>20.343002989999999</v>
      </c>
      <c r="G103">
        <v>5.6127869969999997</v>
      </c>
      <c r="H103">
        <v>0</v>
      </c>
      <c r="I103">
        <f t="shared" si="6"/>
        <v>21.186012516000002</v>
      </c>
      <c r="J103">
        <f t="shared" si="9"/>
        <v>27.008410310000002</v>
      </c>
      <c r="K103">
        <f t="shared" si="7"/>
        <v>0.84300952600000301</v>
      </c>
      <c r="P103">
        <f t="shared" si="8"/>
        <v>3.9790853770304786E-2</v>
      </c>
      <c r="Q103">
        <f t="shared" si="10"/>
        <v>3.121285245314399E-2</v>
      </c>
    </row>
    <row r="104" spans="1:17" x14ac:dyDescent="0.2">
      <c r="A104" s="1">
        <v>41377</v>
      </c>
      <c r="B104" s="2">
        <f t="shared" si="11"/>
        <v>22</v>
      </c>
      <c r="C104">
        <v>20.343002989999999</v>
      </c>
      <c r="D104">
        <v>15.1</v>
      </c>
      <c r="E104">
        <v>15.77778009</v>
      </c>
      <c r="F104">
        <v>19.533402850000002</v>
      </c>
      <c r="G104">
        <v>5.3744925160000001</v>
      </c>
      <c r="H104">
        <v>0</v>
      </c>
      <c r="I104">
        <f t="shared" si="6"/>
        <v>19.665222899999996</v>
      </c>
      <c r="J104">
        <f t="shared" si="9"/>
        <v>35.443002989999997</v>
      </c>
      <c r="K104">
        <f t="shared" si="7"/>
        <v>0.13182004999999464</v>
      </c>
      <c r="P104">
        <f t="shared" si="8"/>
        <v>6.7032065016661806E-3</v>
      </c>
      <c r="Q104">
        <f t="shared" si="10"/>
        <v>3.7192122246861186E-3</v>
      </c>
    </row>
    <row r="105" spans="1:17" x14ac:dyDescent="0.2">
      <c r="A105" s="1">
        <v>41378</v>
      </c>
      <c r="B105" s="2">
        <f t="shared" si="11"/>
        <v>22</v>
      </c>
      <c r="C105">
        <v>19.533402850000002</v>
      </c>
      <c r="D105">
        <v>0</v>
      </c>
      <c r="E105">
        <v>4.5286136780000001</v>
      </c>
      <c r="F105">
        <v>13.12544428</v>
      </c>
      <c r="G105">
        <v>6.0062242299999999</v>
      </c>
      <c r="H105">
        <v>0</v>
      </c>
      <c r="I105">
        <f t="shared" si="6"/>
        <v>15.004789172000002</v>
      </c>
      <c r="J105">
        <f t="shared" si="9"/>
        <v>19.533402850000002</v>
      </c>
      <c r="K105">
        <f t="shared" si="7"/>
        <v>1.8793448920000024</v>
      </c>
      <c r="P105">
        <f t="shared" si="8"/>
        <v>0.12524966998583312</v>
      </c>
      <c r="Q105">
        <f t="shared" si="10"/>
        <v>9.6211853430340846E-2</v>
      </c>
    </row>
    <row r="106" spans="1:17" x14ac:dyDescent="0.2">
      <c r="A106" s="1">
        <v>41379</v>
      </c>
      <c r="B106" s="2">
        <f t="shared" si="11"/>
        <v>23</v>
      </c>
      <c r="C106">
        <v>13.12544428</v>
      </c>
      <c r="D106">
        <v>24.6</v>
      </c>
      <c r="E106">
        <v>8.1346411150000009</v>
      </c>
      <c r="F106">
        <v>29.00742687</v>
      </c>
      <c r="G106">
        <v>5.4407702259999997</v>
      </c>
      <c r="H106">
        <v>0</v>
      </c>
      <c r="I106">
        <f t="shared" si="6"/>
        <v>29.590803165000004</v>
      </c>
      <c r="J106">
        <f t="shared" si="9"/>
        <v>37.725444280000005</v>
      </c>
      <c r="K106">
        <f t="shared" si="7"/>
        <v>0.58337629500000432</v>
      </c>
      <c r="P106">
        <f t="shared" si="8"/>
        <v>1.971478407487167E-2</v>
      </c>
      <c r="Q106">
        <f t="shared" si="10"/>
        <v>1.5463735580425728E-2</v>
      </c>
    </row>
    <row r="107" spans="1:17" x14ac:dyDescent="0.2">
      <c r="A107" s="1">
        <v>41380</v>
      </c>
      <c r="B107" s="2">
        <f t="shared" si="11"/>
        <v>23</v>
      </c>
      <c r="C107">
        <v>29.00742687</v>
      </c>
      <c r="D107">
        <v>0</v>
      </c>
      <c r="E107">
        <v>7.5969658720000002</v>
      </c>
      <c r="F107">
        <v>21.292830739999999</v>
      </c>
      <c r="G107">
        <v>5.3523854359999996</v>
      </c>
      <c r="H107">
        <v>0</v>
      </c>
      <c r="I107">
        <f t="shared" si="6"/>
        <v>21.410460997999998</v>
      </c>
      <c r="J107">
        <f t="shared" si="9"/>
        <v>29.00742687</v>
      </c>
      <c r="K107">
        <f t="shared" si="7"/>
        <v>0.11763025799999838</v>
      </c>
      <c r="P107">
        <f t="shared" si="8"/>
        <v>5.4940553597134833E-3</v>
      </c>
      <c r="Q107">
        <f t="shared" si="10"/>
        <v>4.0551772664004782E-3</v>
      </c>
    </row>
    <row r="108" spans="1:17" x14ac:dyDescent="0.2">
      <c r="A108" s="1">
        <v>41381</v>
      </c>
      <c r="B108" s="2">
        <f t="shared" si="11"/>
        <v>23</v>
      </c>
      <c r="C108">
        <v>21.292830739999999</v>
      </c>
      <c r="D108">
        <v>0</v>
      </c>
      <c r="E108">
        <v>3.1338333</v>
      </c>
      <c r="F108">
        <v>18.11404542</v>
      </c>
      <c r="G108">
        <v>5.8749394500000003</v>
      </c>
      <c r="H108">
        <v>0</v>
      </c>
      <c r="I108">
        <f t="shared" si="6"/>
        <v>18.15899744</v>
      </c>
      <c r="J108">
        <f t="shared" si="9"/>
        <v>21.292830739999999</v>
      </c>
      <c r="K108">
        <f t="shared" si="7"/>
        <v>4.4952020000000203E-2</v>
      </c>
      <c r="P108">
        <f t="shared" si="8"/>
        <v>2.4754681610880936E-3</v>
      </c>
      <c r="Q108">
        <f t="shared" si="10"/>
        <v>2.1111340501831369E-3</v>
      </c>
    </row>
    <row r="109" spans="1:17" x14ac:dyDescent="0.2">
      <c r="A109" s="1">
        <v>41382</v>
      </c>
      <c r="B109" s="2">
        <f t="shared" si="11"/>
        <v>24</v>
      </c>
      <c r="C109">
        <v>18.11404542</v>
      </c>
      <c r="D109">
        <v>24.6</v>
      </c>
      <c r="E109">
        <v>5.1107639159999998</v>
      </c>
      <c r="F109">
        <v>37.03527364</v>
      </c>
      <c r="G109">
        <v>5.5991365200000001</v>
      </c>
      <c r="H109">
        <v>0</v>
      </c>
      <c r="I109">
        <f t="shared" si="6"/>
        <v>37.603281504000009</v>
      </c>
      <c r="J109">
        <f t="shared" si="9"/>
        <v>42.714045420000005</v>
      </c>
      <c r="K109">
        <f t="shared" si="7"/>
        <v>0.56800786400000902</v>
      </c>
      <c r="P109">
        <f t="shared" si="8"/>
        <v>1.5105273829348851E-2</v>
      </c>
      <c r="Q109">
        <f t="shared" si="10"/>
        <v>1.329791777891519E-2</v>
      </c>
    </row>
    <row r="110" spans="1:17" x14ac:dyDescent="0.2">
      <c r="A110" s="1">
        <v>41383</v>
      </c>
      <c r="B110" s="2">
        <f t="shared" si="11"/>
        <v>24</v>
      </c>
      <c r="C110">
        <v>37.03527364</v>
      </c>
      <c r="D110">
        <v>0</v>
      </c>
      <c r="E110">
        <v>7.1604996879999998</v>
      </c>
      <c r="F110">
        <v>28.027784319999999</v>
      </c>
      <c r="G110">
        <v>5.3976903570000001</v>
      </c>
      <c r="H110">
        <v>0</v>
      </c>
      <c r="I110">
        <f t="shared" si="6"/>
        <v>29.874773951999998</v>
      </c>
      <c r="J110">
        <f t="shared" si="9"/>
        <v>37.03527364</v>
      </c>
      <c r="K110">
        <f t="shared" si="7"/>
        <v>1.8469896319999997</v>
      </c>
      <c r="P110">
        <f t="shared" si="8"/>
        <v>6.1824388528180008E-2</v>
      </c>
      <c r="Q110">
        <f t="shared" si="10"/>
        <v>4.9871094512588018E-2</v>
      </c>
    </row>
    <row r="111" spans="1:17" x14ac:dyDescent="0.2">
      <c r="A111" s="1">
        <v>41384</v>
      </c>
      <c r="B111" s="2">
        <f t="shared" si="11"/>
        <v>24</v>
      </c>
      <c r="C111">
        <v>28.027784319999999</v>
      </c>
      <c r="D111">
        <v>0</v>
      </c>
      <c r="E111">
        <v>5.624685403</v>
      </c>
      <c r="F111">
        <v>22.169055719999999</v>
      </c>
      <c r="G111">
        <v>5.8913638050000001</v>
      </c>
      <c r="H111">
        <v>0</v>
      </c>
      <c r="I111">
        <f t="shared" si="6"/>
        <v>22.403098916999998</v>
      </c>
      <c r="J111">
        <f t="shared" si="9"/>
        <v>28.027784319999999</v>
      </c>
      <c r="K111">
        <f t="shared" si="7"/>
        <v>0.23404319699999832</v>
      </c>
      <c r="P111">
        <f t="shared" si="8"/>
        <v>1.0446911736054552E-2</v>
      </c>
      <c r="Q111">
        <f t="shared" si="10"/>
        <v>8.3503995295479121E-3</v>
      </c>
    </row>
    <row r="112" spans="1:17" x14ac:dyDescent="0.2">
      <c r="A112" s="1">
        <v>41385</v>
      </c>
      <c r="B112" s="2">
        <f t="shared" si="11"/>
        <v>24</v>
      </c>
      <c r="C112">
        <v>22.169055719999999</v>
      </c>
      <c r="D112">
        <v>0</v>
      </c>
      <c r="E112">
        <v>6.3378364759999997</v>
      </c>
      <c r="F112">
        <v>15.829461480000001</v>
      </c>
      <c r="G112">
        <v>6.0819257609999999</v>
      </c>
      <c r="H112">
        <v>0</v>
      </c>
      <c r="I112">
        <f t="shared" si="6"/>
        <v>15.831219244</v>
      </c>
      <c r="J112">
        <f t="shared" si="9"/>
        <v>22.169055719999999</v>
      </c>
      <c r="K112">
        <f t="shared" si="7"/>
        <v>1.7577639999988293E-3</v>
      </c>
      <c r="P112">
        <f t="shared" si="8"/>
        <v>1.1103149876880256E-4</v>
      </c>
      <c r="Q112">
        <f t="shared" si="10"/>
        <v>7.9289078533599782E-5</v>
      </c>
    </row>
    <row r="113" spans="1:17" x14ac:dyDescent="0.2">
      <c r="A113" s="1">
        <v>41386</v>
      </c>
      <c r="B113" s="2">
        <f t="shared" si="11"/>
        <v>25</v>
      </c>
      <c r="C113">
        <v>15.829461480000001</v>
      </c>
      <c r="D113">
        <v>25.5</v>
      </c>
      <c r="E113">
        <v>4.0939759550000003</v>
      </c>
      <c r="F113">
        <v>36.836787989999998</v>
      </c>
      <c r="G113">
        <v>5.3644580800000004</v>
      </c>
      <c r="H113">
        <v>0</v>
      </c>
      <c r="I113">
        <f t="shared" si="6"/>
        <v>37.235485525000001</v>
      </c>
      <c r="J113">
        <f t="shared" si="9"/>
        <v>41.329461479999999</v>
      </c>
      <c r="K113">
        <f t="shared" si="7"/>
        <v>0.39869753500000371</v>
      </c>
      <c r="P113">
        <f t="shared" si="8"/>
        <v>1.0707461696244491E-2</v>
      </c>
      <c r="Q113">
        <f t="shared" si="10"/>
        <v>9.6468117590387658E-3</v>
      </c>
    </row>
    <row r="114" spans="1:17" x14ac:dyDescent="0.2">
      <c r="A114" s="1">
        <v>41387</v>
      </c>
      <c r="B114" s="2">
        <f t="shared" si="11"/>
        <v>25</v>
      </c>
      <c r="C114">
        <v>36.836787989999998</v>
      </c>
      <c r="D114">
        <v>0</v>
      </c>
      <c r="E114">
        <v>6.9599576240000003</v>
      </c>
      <c r="F114">
        <v>29.350203560000001</v>
      </c>
      <c r="G114">
        <v>5.7948059990000003</v>
      </c>
      <c r="H114">
        <v>0</v>
      </c>
      <c r="I114">
        <f t="shared" si="6"/>
        <v>29.876830365999997</v>
      </c>
      <c r="J114">
        <f t="shared" si="9"/>
        <v>36.836787989999998</v>
      </c>
      <c r="K114">
        <f t="shared" si="7"/>
        <v>0.5266268059999959</v>
      </c>
      <c r="P114">
        <f t="shared" si="8"/>
        <v>1.7626595577531552E-2</v>
      </c>
      <c r="Q114">
        <f t="shared" si="10"/>
        <v>1.4296219478825301E-2</v>
      </c>
    </row>
    <row r="115" spans="1:17" x14ac:dyDescent="0.2">
      <c r="A115" s="1">
        <v>41388</v>
      </c>
      <c r="B115" s="2">
        <f t="shared" si="11"/>
        <v>25</v>
      </c>
      <c r="C115">
        <v>29.350203560000001</v>
      </c>
      <c r="D115">
        <v>0</v>
      </c>
      <c r="E115">
        <v>2.2798981899999999</v>
      </c>
      <c r="F115">
        <v>26.108175370000001</v>
      </c>
      <c r="G115">
        <v>7.9050445539999998</v>
      </c>
      <c r="H115">
        <v>0</v>
      </c>
      <c r="I115">
        <f t="shared" si="6"/>
        <v>27.07030537</v>
      </c>
      <c r="J115">
        <f t="shared" si="9"/>
        <v>29.350203560000001</v>
      </c>
      <c r="K115">
        <f t="shared" si="7"/>
        <v>0.96212999999999838</v>
      </c>
      <c r="P115">
        <f t="shared" si="8"/>
        <v>3.5541896807202454E-2</v>
      </c>
      <c r="Q115">
        <f t="shared" si="10"/>
        <v>3.2781033291068538E-2</v>
      </c>
    </row>
    <row r="116" spans="1:17" x14ac:dyDescent="0.2">
      <c r="A116" s="1">
        <v>41389</v>
      </c>
      <c r="B116" s="2">
        <f t="shared" si="11"/>
        <v>25</v>
      </c>
      <c r="C116">
        <v>26.108175370000001</v>
      </c>
      <c r="D116">
        <v>0</v>
      </c>
      <c r="E116">
        <v>2.2987977289999999</v>
      </c>
      <c r="F116">
        <v>22.935123870000002</v>
      </c>
      <c r="G116">
        <v>7.5597127730000002</v>
      </c>
      <c r="H116">
        <v>0</v>
      </c>
      <c r="I116">
        <f t="shared" si="6"/>
        <v>23.809377641000001</v>
      </c>
      <c r="J116">
        <f t="shared" si="9"/>
        <v>26.108175370000001</v>
      </c>
      <c r="K116">
        <f t="shared" si="7"/>
        <v>0.87425377099999935</v>
      </c>
      <c r="P116">
        <f t="shared" si="8"/>
        <v>3.6718883802091706E-2</v>
      </c>
      <c r="Q116">
        <f t="shared" si="10"/>
        <v>3.3485824214455603E-2</v>
      </c>
    </row>
    <row r="117" spans="1:17" x14ac:dyDescent="0.2">
      <c r="A117" s="1">
        <v>41390</v>
      </c>
      <c r="B117" s="2">
        <f t="shared" si="11"/>
        <v>25</v>
      </c>
      <c r="C117">
        <v>22.935123870000002</v>
      </c>
      <c r="D117">
        <v>0</v>
      </c>
      <c r="E117">
        <v>0.90232809999999997</v>
      </c>
      <c r="F117">
        <v>21.987176040000001</v>
      </c>
      <c r="G117">
        <v>7.118684343</v>
      </c>
      <c r="H117">
        <v>0</v>
      </c>
      <c r="I117">
        <f t="shared" si="6"/>
        <v>22.032795770000003</v>
      </c>
      <c r="J117">
        <f t="shared" si="9"/>
        <v>22.935123870000002</v>
      </c>
      <c r="K117">
        <f t="shared" si="7"/>
        <v>4.5619730000002079E-2</v>
      </c>
      <c r="P117">
        <f t="shared" si="8"/>
        <v>2.0705375058265732E-3</v>
      </c>
      <c r="Q117">
        <f t="shared" si="10"/>
        <v>1.9890771141495506E-3</v>
      </c>
    </row>
    <row r="118" spans="1:17" x14ac:dyDescent="0.2">
      <c r="A118" s="1">
        <v>41391</v>
      </c>
      <c r="B118" s="2">
        <f t="shared" si="11"/>
        <v>26</v>
      </c>
      <c r="C118">
        <v>21.987176040000001</v>
      </c>
      <c r="D118">
        <v>10.3</v>
      </c>
      <c r="E118">
        <v>2.6565877379999998</v>
      </c>
      <c r="F118">
        <v>29.613084600000001</v>
      </c>
      <c r="G118">
        <v>7.553564572</v>
      </c>
      <c r="H118">
        <v>0</v>
      </c>
      <c r="I118">
        <f t="shared" si="6"/>
        <v>29.630588302000007</v>
      </c>
      <c r="J118">
        <f t="shared" si="9"/>
        <v>32.287176040000006</v>
      </c>
      <c r="K118">
        <f t="shared" si="7"/>
        <v>1.7503702000006172E-2</v>
      </c>
      <c r="P118">
        <f t="shared" si="8"/>
        <v>5.9073082929051075E-4</v>
      </c>
      <c r="Q118">
        <f t="shared" si="10"/>
        <v>5.421255169024738E-4</v>
      </c>
    </row>
    <row r="119" spans="1:17" x14ac:dyDescent="0.2">
      <c r="A119" s="1">
        <v>41392</v>
      </c>
      <c r="B119" s="2">
        <f t="shared" si="11"/>
        <v>26</v>
      </c>
      <c r="C119">
        <v>29.613084600000001</v>
      </c>
      <c r="D119">
        <v>0</v>
      </c>
      <c r="E119">
        <v>2.711238367</v>
      </c>
      <c r="F119">
        <v>26.88177074</v>
      </c>
      <c r="G119">
        <v>7.5145655949999997</v>
      </c>
      <c r="H119">
        <v>0</v>
      </c>
      <c r="I119">
        <f t="shared" si="6"/>
        <v>26.901846233000001</v>
      </c>
      <c r="J119">
        <f t="shared" si="9"/>
        <v>29.613084600000001</v>
      </c>
      <c r="K119">
        <f t="shared" si="7"/>
        <v>2.0075493000000222E-2</v>
      </c>
      <c r="P119">
        <f t="shared" si="8"/>
        <v>7.4624963752019304E-4</v>
      </c>
      <c r="Q119">
        <f t="shared" si="10"/>
        <v>6.7792643931460696E-4</v>
      </c>
    </row>
    <row r="120" spans="1:17" x14ac:dyDescent="0.2">
      <c r="A120" s="1">
        <v>41393</v>
      </c>
      <c r="B120" s="2">
        <f t="shared" si="11"/>
        <v>26</v>
      </c>
      <c r="C120">
        <v>26.88177074</v>
      </c>
      <c r="D120">
        <v>0</v>
      </c>
      <c r="E120">
        <v>1.6724817030000001</v>
      </c>
      <c r="F120">
        <v>25.023125700000001</v>
      </c>
      <c r="G120">
        <v>7.1853856580000004</v>
      </c>
      <c r="H120">
        <v>0</v>
      </c>
      <c r="I120">
        <f t="shared" si="6"/>
        <v>25.209289037000001</v>
      </c>
      <c r="J120">
        <f t="shared" si="9"/>
        <v>26.88177074</v>
      </c>
      <c r="K120">
        <f t="shared" si="7"/>
        <v>0.18616333699999998</v>
      </c>
      <c r="P120">
        <f t="shared" si="8"/>
        <v>7.3847119102314089E-3</v>
      </c>
      <c r="Q120">
        <f t="shared" si="10"/>
        <v>6.925263175576059E-3</v>
      </c>
    </row>
    <row r="121" spans="1:17" x14ac:dyDescent="0.2">
      <c r="A121" s="1">
        <v>41394</v>
      </c>
      <c r="B121" s="2">
        <f t="shared" si="11"/>
        <v>26</v>
      </c>
      <c r="C121">
        <v>25.023125700000001</v>
      </c>
      <c r="D121">
        <v>0</v>
      </c>
      <c r="E121">
        <v>2.7137841699999998</v>
      </c>
      <c r="F121">
        <v>21.928150519999999</v>
      </c>
      <c r="G121">
        <v>7.5353638209999998</v>
      </c>
      <c r="H121">
        <v>0</v>
      </c>
      <c r="I121">
        <f t="shared" si="6"/>
        <v>22.309341530000001</v>
      </c>
      <c r="J121">
        <f t="shared" si="9"/>
        <v>25.023125700000001</v>
      </c>
      <c r="K121">
        <f t="shared" si="7"/>
        <v>0.381191010000002</v>
      </c>
      <c r="P121">
        <f t="shared" si="8"/>
        <v>1.7086609637823855E-2</v>
      </c>
      <c r="Q121">
        <f t="shared" si="10"/>
        <v>1.523354894069057E-2</v>
      </c>
    </row>
    <row r="122" spans="1:17" x14ac:dyDescent="0.2">
      <c r="A122" s="1">
        <v>41395</v>
      </c>
      <c r="B122" s="2">
        <f t="shared" si="11"/>
        <v>26</v>
      </c>
      <c r="C122">
        <v>21.928150519999999</v>
      </c>
      <c r="D122">
        <v>0</v>
      </c>
      <c r="E122">
        <v>1.4215653500000001</v>
      </c>
      <c r="F122">
        <v>20.506575250000001</v>
      </c>
      <c r="G122">
        <v>7.1836084769999999</v>
      </c>
      <c r="H122">
        <v>0</v>
      </c>
      <c r="I122">
        <f t="shared" si="6"/>
        <v>20.506585169999997</v>
      </c>
      <c r="J122">
        <f t="shared" si="9"/>
        <v>21.928150519999999</v>
      </c>
      <c r="K122">
        <f t="shared" si="7"/>
        <v>9.9199999965549068E-6</v>
      </c>
      <c r="P122">
        <f t="shared" si="8"/>
        <v>4.8374704585468081E-7</v>
      </c>
      <c r="Q122">
        <f t="shared" si="10"/>
        <v>4.5238653335160101E-7</v>
      </c>
    </row>
    <row r="123" spans="1:17" x14ac:dyDescent="0.2">
      <c r="A123" s="1">
        <v>41396</v>
      </c>
      <c r="B123" s="2">
        <f t="shared" si="11"/>
        <v>26</v>
      </c>
      <c r="C123">
        <v>20.506575250000001</v>
      </c>
      <c r="D123">
        <v>0</v>
      </c>
      <c r="E123">
        <v>0.89254841799999995</v>
      </c>
      <c r="F123">
        <v>19.354042490000001</v>
      </c>
      <c r="G123">
        <v>8.2254218479999999</v>
      </c>
      <c r="H123">
        <v>0</v>
      </c>
      <c r="I123">
        <f t="shared" si="6"/>
        <v>19.614026832</v>
      </c>
      <c r="J123">
        <f t="shared" si="9"/>
        <v>20.506575250000001</v>
      </c>
      <c r="K123">
        <f t="shared" si="7"/>
        <v>0.2599843419999992</v>
      </c>
      <c r="P123">
        <f t="shared" si="8"/>
        <v>1.3255021226739555E-2</v>
      </c>
      <c r="Q123">
        <f t="shared" si="10"/>
        <v>1.2678096602210512E-2</v>
      </c>
    </row>
    <row r="124" spans="1:17" x14ac:dyDescent="0.2">
      <c r="A124" s="1">
        <v>41397</v>
      </c>
      <c r="B124" s="2">
        <f t="shared" si="11"/>
        <v>26</v>
      </c>
      <c r="C124">
        <v>19.354042490000001</v>
      </c>
      <c r="D124">
        <v>0</v>
      </c>
      <c r="E124">
        <v>1.7196537169999999</v>
      </c>
      <c r="F124">
        <v>17.465424840000001</v>
      </c>
      <c r="G124">
        <v>8.1361774909999998</v>
      </c>
      <c r="H124">
        <v>0</v>
      </c>
      <c r="I124">
        <f t="shared" si="6"/>
        <v>17.634388773000001</v>
      </c>
      <c r="J124">
        <f t="shared" si="9"/>
        <v>19.354042490000001</v>
      </c>
      <c r="K124">
        <f t="shared" si="7"/>
        <v>0.16896393300000057</v>
      </c>
      <c r="P124">
        <f t="shared" si="8"/>
        <v>9.5815020965569903E-3</v>
      </c>
      <c r="Q124">
        <f t="shared" si="10"/>
        <v>8.7301623465641451E-3</v>
      </c>
    </row>
    <row r="125" spans="1:17" x14ac:dyDescent="0.2">
      <c r="A125" s="1">
        <v>41398</v>
      </c>
      <c r="B125" s="2">
        <f t="shared" si="11"/>
        <v>26</v>
      </c>
      <c r="C125">
        <v>17.465424840000001</v>
      </c>
      <c r="D125">
        <v>0</v>
      </c>
      <c r="E125">
        <v>2.4844401839999999</v>
      </c>
      <c r="F125">
        <v>14.93486744</v>
      </c>
      <c r="G125">
        <v>7.9759870399999997</v>
      </c>
      <c r="H125">
        <v>0</v>
      </c>
      <c r="I125">
        <f t="shared" si="6"/>
        <v>14.980984656</v>
      </c>
      <c r="J125">
        <f t="shared" si="9"/>
        <v>17.465424840000001</v>
      </c>
      <c r="K125">
        <f t="shared" si="7"/>
        <v>4.6117216000000738E-2</v>
      </c>
      <c r="P125">
        <f t="shared" si="8"/>
        <v>3.0783835014162727E-3</v>
      </c>
      <c r="Q125">
        <f t="shared" si="10"/>
        <v>2.6404863564716318E-3</v>
      </c>
    </row>
    <row r="126" spans="1:17" x14ac:dyDescent="0.2">
      <c r="A126" s="1">
        <v>41399</v>
      </c>
      <c r="B126" s="2">
        <f t="shared" si="11"/>
        <v>27</v>
      </c>
      <c r="C126">
        <v>14.93486744</v>
      </c>
      <c r="D126">
        <v>14.8</v>
      </c>
      <c r="E126">
        <v>1.5732285989999999</v>
      </c>
      <c r="F126">
        <v>27.062277470000002</v>
      </c>
      <c r="G126">
        <v>7.6419472319999997</v>
      </c>
      <c r="H126">
        <v>0</v>
      </c>
      <c r="I126">
        <f t="shared" si="6"/>
        <v>28.161638841000002</v>
      </c>
      <c r="J126">
        <f t="shared" si="9"/>
        <v>29.734867440000002</v>
      </c>
      <c r="K126">
        <f t="shared" si="7"/>
        <v>1.0993613710000005</v>
      </c>
      <c r="P126">
        <f t="shared" si="8"/>
        <v>3.9037549526395494E-2</v>
      </c>
      <c r="Q126">
        <f t="shared" si="10"/>
        <v>3.6972129545165391E-2</v>
      </c>
    </row>
    <row r="127" spans="1:17" x14ac:dyDescent="0.2">
      <c r="A127" s="1">
        <v>41400</v>
      </c>
      <c r="B127" s="2">
        <f t="shared" si="11"/>
        <v>27</v>
      </c>
      <c r="C127">
        <v>27.062277470000002</v>
      </c>
      <c r="D127">
        <v>0</v>
      </c>
      <c r="E127">
        <v>0.453403736</v>
      </c>
      <c r="F127">
        <v>26.508208719999999</v>
      </c>
      <c r="G127">
        <v>7.155303687</v>
      </c>
      <c r="H127">
        <v>0</v>
      </c>
      <c r="I127">
        <f t="shared" si="6"/>
        <v>26.608873734000003</v>
      </c>
      <c r="J127">
        <f t="shared" si="9"/>
        <v>27.062277470000002</v>
      </c>
      <c r="K127">
        <f t="shared" si="7"/>
        <v>0.10066501400000405</v>
      </c>
      <c r="P127">
        <f t="shared" si="8"/>
        <v>3.7831369717605664E-3</v>
      </c>
      <c r="Q127">
        <f t="shared" si="10"/>
        <v>3.7197539679207216E-3</v>
      </c>
    </row>
    <row r="128" spans="1:17" x14ac:dyDescent="0.2">
      <c r="A128" s="1">
        <v>41401</v>
      </c>
      <c r="B128" s="2">
        <f t="shared" si="11"/>
        <v>27</v>
      </c>
      <c r="C128">
        <v>26.508208719999999</v>
      </c>
      <c r="D128">
        <v>0</v>
      </c>
      <c r="E128">
        <v>1.30477749</v>
      </c>
      <c r="F128">
        <v>25.199323740000001</v>
      </c>
      <c r="G128">
        <v>7.7892127240000004</v>
      </c>
      <c r="H128">
        <v>0</v>
      </c>
      <c r="I128">
        <f t="shared" si="6"/>
        <v>25.20343123</v>
      </c>
      <c r="J128">
        <f t="shared" si="9"/>
        <v>26.508208719999999</v>
      </c>
      <c r="K128">
        <f t="shared" si="7"/>
        <v>4.1074899999991032E-3</v>
      </c>
      <c r="P128">
        <f t="shared" si="8"/>
        <v>1.629734444693348E-4</v>
      </c>
      <c r="Q128">
        <f t="shared" si="10"/>
        <v>1.5495162435853581E-4</v>
      </c>
    </row>
    <row r="129" spans="1:17" x14ac:dyDescent="0.2">
      <c r="A129" s="1">
        <v>41402</v>
      </c>
      <c r="B129" s="2">
        <f t="shared" si="11"/>
        <v>27</v>
      </c>
      <c r="C129">
        <v>25.199323740000001</v>
      </c>
      <c r="D129">
        <v>0</v>
      </c>
      <c r="E129">
        <v>2.159987568</v>
      </c>
      <c r="F129">
        <v>22.98587526</v>
      </c>
      <c r="G129">
        <v>8.8071358140000005</v>
      </c>
      <c r="H129">
        <v>0</v>
      </c>
      <c r="I129">
        <f t="shared" si="6"/>
        <v>23.039336171999999</v>
      </c>
      <c r="J129">
        <f t="shared" si="9"/>
        <v>25.199323740000001</v>
      </c>
      <c r="K129">
        <f t="shared" si="7"/>
        <v>5.3460911999998473E-2</v>
      </c>
      <c r="P129">
        <f t="shared" si="8"/>
        <v>2.320418939195401E-3</v>
      </c>
      <c r="Q129">
        <f t="shared" si="10"/>
        <v>2.1215216944547445E-3</v>
      </c>
    </row>
    <row r="130" spans="1:17" x14ac:dyDescent="0.2">
      <c r="A130" s="1">
        <v>41403</v>
      </c>
      <c r="B130" s="2">
        <f t="shared" si="11"/>
        <v>27</v>
      </c>
      <c r="C130">
        <v>22.98587526</v>
      </c>
      <c r="D130">
        <v>0</v>
      </c>
      <c r="E130">
        <v>1.884405699</v>
      </c>
      <c r="F130">
        <v>21.04796992</v>
      </c>
      <c r="G130">
        <v>9.0395497710000008</v>
      </c>
      <c r="H130">
        <v>0</v>
      </c>
      <c r="I130">
        <f t="shared" ref="I130:I193" si="12">C130+D130-E130</f>
        <v>21.101469561000002</v>
      </c>
      <c r="J130">
        <f t="shared" si="9"/>
        <v>22.98587526</v>
      </c>
      <c r="K130">
        <f t="shared" ref="K130:K193" si="13">I130-F130</f>
        <v>5.349964100000193E-2</v>
      </c>
      <c r="P130">
        <f t="shared" ref="P130:P193" si="14">K130/I130</f>
        <v>2.5353514287403296E-3</v>
      </c>
      <c r="Q130">
        <f t="shared" si="10"/>
        <v>2.3275007105386133E-3</v>
      </c>
    </row>
    <row r="131" spans="1:17" x14ac:dyDescent="0.2">
      <c r="A131" s="1">
        <v>41404</v>
      </c>
      <c r="B131" s="2">
        <f t="shared" si="11"/>
        <v>27</v>
      </c>
      <c r="C131">
        <v>21.04796992</v>
      </c>
      <c r="D131">
        <v>0</v>
      </c>
      <c r="E131">
        <v>4.912296521</v>
      </c>
      <c r="F131">
        <v>15.651073820000001</v>
      </c>
      <c r="G131">
        <v>7.8041105919999998</v>
      </c>
      <c r="H131">
        <v>0</v>
      </c>
      <c r="I131">
        <f t="shared" si="12"/>
        <v>16.135673398999998</v>
      </c>
      <c r="J131">
        <f t="shared" ref="J131:J194" si="15">C131+D131</f>
        <v>21.04796992</v>
      </c>
      <c r="K131">
        <f t="shared" si="13"/>
        <v>0.4845995789999975</v>
      </c>
      <c r="P131">
        <f t="shared" si="14"/>
        <v>3.003280786719632E-2</v>
      </c>
      <c r="Q131">
        <f t="shared" ref="Q131:Q194" si="16">K131/J131</f>
        <v>2.3023578085767119E-2</v>
      </c>
    </row>
    <row r="132" spans="1:17" x14ac:dyDescent="0.2">
      <c r="A132" s="1">
        <v>41405</v>
      </c>
      <c r="B132" s="2">
        <f t="shared" ref="B132:B195" si="17">IF(D132&gt;0,B131+1,B131)</f>
        <v>27</v>
      </c>
      <c r="C132">
        <v>15.651073820000001</v>
      </c>
      <c r="D132">
        <v>0</v>
      </c>
      <c r="E132">
        <v>1.1936813070000001</v>
      </c>
      <c r="F132">
        <v>14.36194873</v>
      </c>
      <c r="G132">
        <v>7.9220843529999998</v>
      </c>
      <c r="H132">
        <v>0</v>
      </c>
      <c r="I132">
        <f t="shared" si="12"/>
        <v>14.457392513</v>
      </c>
      <c r="J132">
        <f t="shared" si="15"/>
        <v>15.651073820000001</v>
      </c>
      <c r="K132">
        <f t="shared" si="13"/>
        <v>9.5443783000000337E-2</v>
      </c>
      <c r="P132">
        <f t="shared" si="14"/>
        <v>6.6017286944501131E-3</v>
      </c>
      <c r="Q132">
        <f t="shared" si="16"/>
        <v>6.0982258532341609E-3</v>
      </c>
    </row>
    <row r="133" spans="1:17" x14ac:dyDescent="0.2">
      <c r="A133" s="1">
        <v>41406</v>
      </c>
      <c r="B133" s="2">
        <f t="shared" si="17"/>
        <v>27</v>
      </c>
      <c r="C133">
        <v>14.36194873</v>
      </c>
      <c r="D133">
        <v>0</v>
      </c>
      <c r="E133">
        <v>2.229986791</v>
      </c>
      <c r="F133">
        <v>12.05033255</v>
      </c>
      <c r="G133">
        <v>9.0307236619999998</v>
      </c>
      <c r="H133">
        <v>0</v>
      </c>
      <c r="I133">
        <f t="shared" si="12"/>
        <v>12.131961939</v>
      </c>
      <c r="J133">
        <f t="shared" si="15"/>
        <v>14.36194873</v>
      </c>
      <c r="K133">
        <f t="shared" si="13"/>
        <v>8.1629388999999719E-2</v>
      </c>
      <c r="P133">
        <f t="shared" si="14"/>
        <v>6.7284573929951002E-3</v>
      </c>
      <c r="Q133">
        <f t="shared" si="16"/>
        <v>5.6837265286630587E-3</v>
      </c>
    </row>
    <row r="134" spans="1:17" x14ac:dyDescent="0.2">
      <c r="A134" s="1">
        <v>41407</v>
      </c>
      <c r="B134" s="2">
        <f t="shared" si="17"/>
        <v>28</v>
      </c>
      <c r="C134">
        <v>12.05033255</v>
      </c>
      <c r="D134">
        <v>10</v>
      </c>
      <c r="E134">
        <v>1.7308397680000001</v>
      </c>
      <c r="F134">
        <v>20.055696900000001</v>
      </c>
      <c r="G134">
        <v>8.3393856349999993</v>
      </c>
      <c r="H134">
        <v>0</v>
      </c>
      <c r="I134">
        <f t="shared" si="12"/>
        <v>20.319492782000001</v>
      </c>
      <c r="J134">
        <f t="shared" si="15"/>
        <v>22.05033255</v>
      </c>
      <c r="K134">
        <f t="shared" si="13"/>
        <v>0.26379588200000015</v>
      </c>
      <c r="P134">
        <f t="shared" si="14"/>
        <v>1.2982404867590171E-2</v>
      </c>
      <c r="Q134">
        <f t="shared" si="16"/>
        <v>1.1963351636617388E-2</v>
      </c>
    </row>
    <row r="135" spans="1:17" x14ac:dyDescent="0.2">
      <c r="A135" s="1">
        <v>41408</v>
      </c>
      <c r="B135" s="2">
        <f t="shared" si="17"/>
        <v>28</v>
      </c>
      <c r="C135">
        <v>20.055696900000001</v>
      </c>
      <c r="D135">
        <v>0</v>
      </c>
      <c r="E135">
        <v>2.5189430110000002</v>
      </c>
      <c r="F135">
        <v>17.536588070000001</v>
      </c>
      <c r="G135">
        <v>8.0002314769999998</v>
      </c>
      <c r="H135">
        <v>0</v>
      </c>
      <c r="I135">
        <f t="shared" si="12"/>
        <v>17.536753889</v>
      </c>
      <c r="J135">
        <f t="shared" si="15"/>
        <v>20.055696900000001</v>
      </c>
      <c r="K135">
        <f t="shared" si="13"/>
        <v>1.6581899999934535E-4</v>
      </c>
      <c r="P135">
        <f t="shared" si="14"/>
        <v>9.4555127504729368E-6</v>
      </c>
      <c r="Q135">
        <f t="shared" si="16"/>
        <v>8.2679251100641313E-6</v>
      </c>
    </row>
    <row r="136" spans="1:17" x14ac:dyDescent="0.2">
      <c r="A136" s="1">
        <v>41409</v>
      </c>
      <c r="B136" s="2">
        <f t="shared" si="17"/>
        <v>28</v>
      </c>
      <c r="C136">
        <v>17.536588070000001</v>
      </c>
      <c r="D136">
        <v>0</v>
      </c>
      <c r="E136">
        <v>2.826117853</v>
      </c>
      <c r="F136">
        <v>14.245734819999999</v>
      </c>
      <c r="G136">
        <v>7.9716642499999999</v>
      </c>
      <c r="H136">
        <v>0</v>
      </c>
      <c r="I136">
        <f t="shared" si="12"/>
        <v>14.710470217000001</v>
      </c>
      <c r="J136">
        <f t="shared" si="15"/>
        <v>17.536588070000001</v>
      </c>
      <c r="K136">
        <f t="shared" si="13"/>
        <v>0.46473539700000188</v>
      </c>
      <c r="P136">
        <f t="shared" si="14"/>
        <v>3.1592151042387162E-2</v>
      </c>
      <c r="Q136">
        <f t="shared" si="16"/>
        <v>2.6500901723011269E-2</v>
      </c>
    </row>
    <row r="137" spans="1:17" x14ac:dyDescent="0.2">
      <c r="A137" s="1">
        <v>41410</v>
      </c>
      <c r="B137" s="2">
        <f t="shared" si="17"/>
        <v>29</v>
      </c>
      <c r="C137">
        <v>14.245734819999999</v>
      </c>
      <c r="D137">
        <v>9.5</v>
      </c>
      <c r="E137">
        <v>4.244818242</v>
      </c>
      <c r="F137">
        <v>18.150132079999999</v>
      </c>
      <c r="G137">
        <v>7.5165414769999996</v>
      </c>
      <c r="H137">
        <v>0</v>
      </c>
      <c r="I137">
        <f t="shared" si="12"/>
        <v>19.500916577999998</v>
      </c>
      <c r="J137">
        <f t="shared" si="15"/>
        <v>23.745734819999999</v>
      </c>
      <c r="K137">
        <f t="shared" si="13"/>
        <v>1.3507844979999994</v>
      </c>
      <c r="P137">
        <f t="shared" si="14"/>
        <v>6.9267744036395185E-2</v>
      </c>
      <c r="Q137">
        <f t="shared" si="16"/>
        <v>5.6885352600766534E-2</v>
      </c>
    </row>
    <row r="138" spans="1:17" x14ac:dyDescent="0.2">
      <c r="A138" s="1">
        <v>41411</v>
      </c>
      <c r="B138" s="2">
        <f t="shared" si="17"/>
        <v>29</v>
      </c>
      <c r="C138">
        <v>18.150132079999999</v>
      </c>
      <c r="D138">
        <v>0</v>
      </c>
      <c r="E138">
        <v>5.7614333950000001</v>
      </c>
      <c r="F138">
        <v>12.25024518</v>
      </c>
      <c r="G138">
        <v>7.5728849489999996</v>
      </c>
      <c r="H138">
        <v>0</v>
      </c>
      <c r="I138">
        <f t="shared" si="12"/>
        <v>12.388698684999998</v>
      </c>
      <c r="J138">
        <f t="shared" si="15"/>
        <v>18.150132079999999</v>
      </c>
      <c r="K138">
        <f t="shared" si="13"/>
        <v>0.13845350499999753</v>
      </c>
      <c r="P138">
        <f t="shared" si="14"/>
        <v>1.1175790817128713E-2</v>
      </c>
      <c r="Q138">
        <f t="shared" si="16"/>
        <v>7.6282367747925253E-3</v>
      </c>
    </row>
    <row r="139" spans="1:17" x14ac:dyDescent="0.2">
      <c r="A139" s="1">
        <v>41412</v>
      </c>
      <c r="B139" s="2">
        <f t="shared" si="17"/>
        <v>29</v>
      </c>
      <c r="C139">
        <v>12.25024518</v>
      </c>
      <c r="D139">
        <v>0</v>
      </c>
      <c r="E139">
        <v>4.2219712920000001</v>
      </c>
      <c r="F139">
        <v>8.0280426390000006</v>
      </c>
      <c r="G139">
        <v>7.6001875160000001</v>
      </c>
      <c r="H139">
        <v>0</v>
      </c>
      <c r="I139">
        <f t="shared" si="12"/>
        <v>8.0282738880000011</v>
      </c>
      <c r="J139">
        <f t="shared" si="15"/>
        <v>12.25024518</v>
      </c>
      <c r="K139">
        <f t="shared" si="13"/>
        <v>2.3124900000048854E-4</v>
      </c>
      <c r="P139">
        <f t="shared" si="14"/>
        <v>2.8804323722206387E-5</v>
      </c>
      <c r="Q139">
        <f t="shared" si="16"/>
        <v>1.8877091568585938E-5</v>
      </c>
    </row>
    <row r="140" spans="1:17" x14ac:dyDescent="0.2">
      <c r="A140" s="1">
        <v>41413</v>
      </c>
      <c r="B140" s="2">
        <f t="shared" si="17"/>
        <v>29</v>
      </c>
      <c r="C140">
        <v>8.0280426390000006</v>
      </c>
      <c r="D140">
        <v>0</v>
      </c>
      <c r="E140">
        <v>3.6651945050000001</v>
      </c>
      <c r="F140">
        <v>4.3020376349999996</v>
      </c>
      <c r="G140">
        <v>6.7280023719999997</v>
      </c>
      <c r="H140">
        <v>0</v>
      </c>
      <c r="I140">
        <f t="shared" si="12"/>
        <v>4.362848134</v>
      </c>
      <c r="J140">
        <f t="shared" si="15"/>
        <v>8.0280426390000006</v>
      </c>
      <c r="K140">
        <f t="shared" si="13"/>
        <v>6.0810499000000462E-2</v>
      </c>
      <c r="P140">
        <f t="shared" si="14"/>
        <v>1.3938257104596358E-2</v>
      </c>
      <c r="Q140">
        <f t="shared" si="16"/>
        <v>7.5747603412798037E-3</v>
      </c>
    </row>
    <row r="141" spans="1:17" x14ac:dyDescent="0.2">
      <c r="A141" s="1">
        <v>41414</v>
      </c>
      <c r="B141" s="2">
        <f t="shared" si="17"/>
        <v>30</v>
      </c>
      <c r="C141">
        <v>4.3020376349999996</v>
      </c>
      <c r="D141">
        <v>25.1</v>
      </c>
      <c r="E141">
        <v>2.1616115730000001</v>
      </c>
      <c r="F141">
        <v>27.222005129999999</v>
      </c>
      <c r="G141">
        <v>7.1469524629999999</v>
      </c>
      <c r="H141">
        <v>0</v>
      </c>
      <c r="I141">
        <f t="shared" si="12"/>
        <v>27.240426061999997</v>
      </c>
      <c r="J141">
        <f t="shared" si="15"/>
        <v>29.402037634999999</v>
      </c>
      <c r="K141">
        <f t="shared" si="13"/>
        <v>1.8420931999997947E-2</v>
      </c>
      <c r="P141">
        <f t="shared" si="14"/>
        <v>6.7623509111316299E-4</v>
      </c>
      <c r="Q141">
        <f t="shared" si="16"/>
        <v>6.2651889058429702E-4</v>
      </c>
    </row>
    <row r="142" spans="1:17" x14ac:dyDescent="0.2">
      <c r="A142" s="1">
        <v>41415</v>
      </c>
      <c r="B142" s="2">
        <f t="shared" si="17"/>
        <v>30</v>
      </c>
      <c r="C142">
        <v>27.222005129999999</v>
      </c>
      <c r="D142">
        <v>0</v>
      </c>
      <c r="E142">
        <v>2.6963343150000001</v>
      </c>
      <c r="F142">
        <v>24.516598040000002</v>
      </c>
      <c r="G142">
        <v>7.6913288929999997</v>
      </c>
      <c r="H142">
        <v>0</v>
      </c>
      <c r="I142">
        <f t="shared" si="12"/>
        <v>24.525670814999998</v>
      </c>
      <c r="J142">
        <f t="shared" si="15"/>
        <v>27.222005129999999</v>
      </c>
      <c r="K142">
        <f t="shared" si="13"/>
        <v>9.0727749999963692E-3</v>
      </c>
      <c r="P142">
        <f t="shared" si="14"/>
        <v>3.6992973886151257E-4</v>
      </c>
      <c r="Q142">
        <f t="shared" si="16"/>
        <v>3.3328827015750287E-4</v>
      </c>
    </row>
    <row r="143" spans="1:17" x14ac:dyDescent="0.2">
      <c r="A143" s="1">
        <v>41416</v>
      </c>
      <c r="B143" s="2">
        <f t="shared" si="17"/>
        <v>31</v>
      </c>
      <c r="C143">
        <v>24.516598040000002</v>
      </c>
      <c r="D143">
        <v>14.9</v>
      </c>
      <c r="E143">
        <v>5.55171832</v>
      </c>
      <c r="F143">
        <v>33.570953979999999</v>
      </c>
      <c r="G143">
        <v>5.9317076039999996</v>
      </c>
      <c r="H143">
        <v>0</v>
      </c>
      <c r="I143">
        <f t="shared" si="12"/>
        <v>33.864879720000005</v>
      </c>
      <c r="J143">
        <f t="shared" si="15"/>
        <v>39.416598040000004</v>
      </c>
      <c r="K143">
        <f t="shared" si="13"/>
        <v>0.29392574000000593</v>
      </c>
      <c r="P143">
        <f t="shared" si="14"/>
        <v>8.6793676053253058E-3</v>
      </c>
      <c r="Q143">
        <f t="shared" si="16"/>
        <v>7.456902792618729E-3</v>
      </c>
    </row>
    <row r="144" spans="1:17" x14ac:dyDescent="0.2">
      <c r="A144" s="1">
        <v>41417</v>
      </c>
      <c r="B144" s="2">
        <f t="shared" si="17"/>
        <v>32</v>
      </c>
      <c r="C144">
        <v>33.570953979999999</v>
      </c>
      <c r="D144">
        <v>9.1999999999999993</v>
      </c>
      <c r="E144">
        <v>4.4976857929999996</v>
      </c>
      <c r="F144">
        <v>38.229573629999997</v>
      </c>
      <c r="G144">
        <v>5.9193979529999998</v>
      </c>
      <c r="H144">
        <v>0</v>
      </c>
      <c r="I144">
        <f t="shared" si="12"/>
        <v>38.273268186999999</v>
      </c>
      <c r="J144">
        <f t="shared" si="15"/>
        <v>42.770953980000002</v>
      </c>
      <c r="K144">
        <f t="shared" si="13"/>
        <v>4.3694557000002021E-2</v>
      </c>
      <c r="P144">
        <f t="shared" si="14"/>
        <v>1.1416468744324122E-3</v>
      </c>
      <c r="Q144">
        <f t="shared" si="16"/>
        <v>1.0215941645920243E-3</v>
      </c>
    </row>
    <row r="145" spans="1:17" x14ac:dyDescent="0.2">
      <c r="A145" s="1">
        <v>41418</v>
      </c>
      <c r="B145" s="2">
        <f t="shared" si="17"/>
        <v>32</v>
      </c>
      <c r="C145">
        <v>38.229573629999997</v>
      </c>
      <c r="D145">
        <v>0</v>
      </c>
      <c r="E145">
        <v>4.8571518139999998</v>
      </c>
      <c r="F145">
        <v>33.350958110000001</v>
      </c>
      <c r="G145">
        <v>6.0519307419999997</v>
      </c>
      <c r="H145">
        <v>0</v>
      </c>
      <c r="I145">
        <f t="shared" si="12"/>
        <v>33.372421815999999</v>
      </c>
      <c r="J145">
        <f t="shared" si="15"/>
        <v>38.229573629999997</v>
      </c>
      <c r="K145">
        <f t="shared" si="13"/>
        <v>2.1463705999998695E-2</v>
      </c>
      <c r="P145">
        <f t="shared" si="14"/>
        <v>6.4315697908709111E-4</v>
      </c>
      <c r="Q145">
        <f t="shared" si="16"/>
        <v>5.614424635684512E-4</v>
      </c>
    </row>
    <row r="146" spans="1:17" x14ac:dyDescent="0.2">
      <c r="A146" s="1">
        <v>41419</v>
      </c>
      <c r="B146" s="2">
        <f t="shared" si="17"/>
        <v>32</v>
      </c>
      <c r="C146">
        <v>33.350958110000001</v>
      </c>
      <c r="D146">
        <v>0</v>
      </c>
      <c r="E146">
        <v>2.158219731</v>
      </c>
      <c r="F146">
        <v>30.992854980000001</v>
      </c>
      <c r="G146">
        <v>6.5379543739999999</v>
      </c>
      <c r="H146">
        <v>0</v>
      </c>
      <c r="I146">
        <f t="shared" si="12"/>
        <v>31.192738379000001</v>
      </c>
      <c r="J146">
        <f t="shared" si="15"/>
        <v>33.350958110000001</v>
      </c>
      <c r="K146">
        <f t="shared" si="13"/>
        <v>0.19988339900000085</v>
      </c>
      <c r="P146">
        <f t="shared" si="14"/>
        <v>6.4080106264273696E-3</v>
      </c>
      <c r="Q146">
        <f t="shared" si="16"/>
        <v>5.9933330353129349E-3</v>
      </c>
    </row>
    <row r="147" spans="1:17" x14ac:dyDescent="0.2">
      <c r="A147" s="1">
        <v>41420</v>
      </c>
      <c r="B147" s="2">
        <f t="shared" si="17"/>
        <v>32</v>
      </c>
      <c r="C147">
        <v>30.992854980000001</v>
      </c>
      <c r="D147">
        <v>0</v>
      </c>
      <c r="E147">
        <v>6.2572857019999999</v>
      </c>
      <c r="F147">
        <v>24.73140858</v>
      </c>
      <c r="G147">
        <v>6.3816822279999998</v>
      </c>
      <c r="H147">
        <v>0</v>
      </c>
      <c r="I147">
        <f t="shared" si="12"/>
        <v>24.735569278</v>
      </c>
      <c r="J147">
        <f t="shared" si="15"/>
        <v>30.992854980000001</v>
      </c>
      <c r="K147">
        <f t="shared" si="13"/>
        <v>4.1606979999997407E-3</v>
      </c>
      <c r="P147">
        <f t="shared" si="14"/>
        <v>1.6820708483553264E-4</v>
      </c>
      <c r="Q147">
        <f t="shared" si="16"/>
        <v>1.3424700637242618E-4</v>
      </c>
    </row>
    <row r="148" spans="1:17" x14ac:dyDescent="0.2">
      <c r="A148" s="1">
        <v>41421</v>
      </c>
      <c r="B148" s="2">
        <f t="shared" si="17"/>
        <v>32</v>
      </c>
      <c r="C148">
        <v>24.73140858</v>
      </c>
      <c r="D148">
        <v>0</v>
      </c>
      <c r="E148">
        <v>2.8157250970000001</v>
      </c>
      <c r="F148">
        <v>21.91048571</v>
      </c>
      <c r="G148">
        <v>6.1394594619999996</v>
      </c>
      <c r="H148">
        <v>0</v>
      </c>
      <c r="I148">
        <f t="shared" si="12"/>
        <v>21.915683482999999</v>
      </c>
      <c r="J148">
        <f t="shared" si="15"/>
        <v>24.73140858</v>
      </c>
      <c r="K148">
        <f t="shared" si="13"/>
        <v>5.1977729999990174E-3</v>
      </c>
      <c r="P148">
        <f t="shared" si="14"/>
        <v>2.371713847770676E-4</v>
      </c>
      <c r="Q148">
        <f t="shared" si="16"/>
        <v>2.1016890255908817E-4</v>
      </c>
    </row>
    <row r="149" spans="1:17" x14ac:dyDescent="0.2">
      <c r="A149" s="1">
        <v>41422</v>
      </c>
      <c r="B149" s="2">
        <f t="shared" si="17"/>
        <v>33</v>
      </c>
      <c r="C149">
        <v>21.91048571</v>
      </c>
      <c r="D149">
        <v>10.9</v>
      </c>
      <c r="E149">
        <v>4.5738255700000003</v>
      </c>
      <c r="F149">
        <v>27.644945669999998</v>
      </c>
      <c r="G149">
        <v>6.2880977099999997</v>
      </c>
      <c r="H149">
        <v>0</v>
      </c>
      <c r="I149">
        <f t="shared" si="12"/>
        <v>28.236660140000001</v>
      </c>
      <c r="J149">
        <f t="shared" si="15"/>
        <v>32.810485710000002</v>
      </c>
      <c r="K149">
        <f t="shared" si="13"/>
        <v>0.59171447000000299</v>
      </c>
      <c r="P149">
        <f t="shared" si="14"/>
        <v>2.0955540317666017E-2</v>
      </c>
      <c r="Q149">
        <f t="shared" si="16"/>
        <v>1.8034309983398382E-2</v>
      </c>
    </row>
    <row r="150" spans="1:17" x14ac:dyDescent="0.2">
      <c r="A150" s="1">
        <v>41423</v>
      </c>
      <c r="B150" s="2">
        <f t="shared" si="17"/>
        <v>33</v>
      </c>
      <c r="C150">
        <v>27.644945669999998</v>
      </c>
      <c r="D150">
        <v>0</v>
      </c>
      <c r="E150">
        <v>3.6048389080000001</v>
      </c>
      <c r="F150">
        <v>23.68988062</v>
      </c>
      <c r="G150">
        <v>6.2304995700000001</v>
      </c>
      <c r="H150">
        <v>0</v>
      </c>
      <c r="I150">
        <f t="shared" si="12"/>
        <v>24.040106761999997</v>
      </c>
      <c r="J150">
        <f t="shared" si="15"/>
        <v>27.644945669999998</v>
      </c>
      <c r="K150">
        <f t="shared" si="13"/>
        <v>0.3502261419999968</v>
      </c>
      <c r="P150">
        <f t="shared" si="14"/>
        <v>1.4568410426263017E-2</v>
      </c>
      <c r="Q150">
        <f t="shared" si="16"/>
        <v>1.2668722383493721E-2</v>
      </c>
    </row>
    <row r="151" spans="1:17" x14ac:dyDescent="0.2">
      <c r="A151" s="1">
        <v>41424</v>
      </c>
      <c r="B151" s="2">
        <f t="shared" si="17"/>
        <v>34</v>
      </c>
      <c r="C151">
        <v>23.68988062</v>
      </c>
      <c r="D151">
        <v>10.6</v>
      </c>
      <c r="E151">
        <v>8.7706209360000003</v>
      </c>
      <c r="F151">
        <v>25.401882789999998</v>
      </c>
      <c r="G151">
        <v>5.9591775230000001</v>
      </c>
      <c r="H151">
        <v>0</v>
      </c>
      <c r="I151">
        <f t="shared" si="12"/>
        <v>25.519259683999998</v>
      </c>
      <c r="J151">
        <f t="shared" si="15"/>
        <v>34.289880619999998</v>
      </c>
      <c r="K151">
        <f t="shared" si="13"/>
        <v>0.11737689399999951</v>
      </c>
      <c r="P151">
        <f t="shared" si="14"/>
        <v>4.5995415013387782E-3</v>
      </c>
      <c r="Q151">
        <f t="shared" si="16"/>
        <v>3.4230767759377378E-3</v>
      </c>
    </row>
    <row r="152" spans="1:17" x14ac:dyDescent="0.2">
      <c r="A152" s="1">
        <v>41425</v>
      </c>
      <c r="B152" s="2">
        <f t="shared" si="17"/>
        <v>34</v>
      </c>
      <c r="C152">
        <v>25.401882789999998</v>
      </c>
      <c r="D152">
        <v>0</v>
      </c>
      <c r="E152">
        <v>2.352730969</v>
      </c>
      <c r="F152">
        <v>22.924493500000001</v>
      </c>
      <c r="G152">
        <v>5.9555578779999996</v>
      </c>
      <c r="H152">
        <v>0</v>
      </c>
      <c r="I152">
        <f t="shared" si="12"/>
        <v>23.049151820999999</v>
      </c>
      <c r="J152">
        <f t="shared" si="15"/>
        <v>25.401882789999998</v>
      </c>
      <c r="K152">
        <f t="shared" si="13"/>
        <v>0.1246583209999983</v>
      </c>
      <c r="P152">
        <f t="shared" si="14"/>
        <v>5.4083691221306698E-3</v>
      </c>
      <c r="Q152">
        <f t="shared" si="16"/>
        <v>4.9074441461903267E-3</v>
      </c>
    </row>
    <row r="153" spans="1:17" x14ac:dyDescent="0.2">
      <c r="A153" s="1">
        <v>41426</v>
      </c>
      <c r="B153" s="2">
        <f t="shared" si="17"/>
        <v>35</v>
      </c>
      <c r="C153">
        <v>22.924493500000001</v>
      </c>
      <c r="D153">
        <v>9.1999999999999993</v>
      </c>
      <c r="E153">
        <v>3.7601361519999998</v>
      </c>
      <c r="F153">
        <v>27.64339683</v>
      </c>
      <c r="G153">
        <v>6.5331055129999998</v>
      </c>
      <c r="H153">
        <v>0</v>
      </c>
      <c r="I153">
        <f t="shared" si="12"/>
        <v>28.364357347999999</v>
      </c>
      <c r="J153">
        <f t="shared" si="15"/>
        <v>32.1244935</v>
      </c>
      <c r="K153">
        <f t="shared" si="13"/>
        <v>0.72096051799999827</v>
      </c>
      <c r="P153">
        <f t="shared" si="14"/>
        <v>2.5417833697220501E-2</v>
      </c>
      <c r="Q153">
        <f t="shared" si="16"/>
        <v>2.2442704598595407E-2</v>
      </c>
    </row>
    <row r="154" spans="1:17" x14ac:dyDescent="0.2">
      <c r="A154" s="1">
        <v>41427</v>
      </c>
      <c r="B154" s="2">
        <f t="shared" si="17"/>
        <v>35</v>
      </c>
      <c r="C154">
        <v>27.64339683</v>
      </c>
      <c r="D154">
        <v>0</v>
      </c>
      <c r="E154">
        <v>4.3888928759999999</v>
      </c>
      <c r="F154">
        <v>23.199633710000001</v>
      </c>
      <c r="G154">
        <v>6.5284511429999998</v>
      </c>
      <c r="H154">
        <v>0</v>
      </c>
      <c r="I154">
        <f t="shared" si="12"/>
        <v>23.254503954</v>
      </c>
      <c r="J154">
        <f t="shared" si="15"/>
        <v>27.64339683</v>
      </c>
      <c r="K154">
        <f t="shared" si="13"/>
        <v>5.4870243999999957E-2</v>
      </c>
      <c r="P154">
        <f t="shared" si="14"/>
        <v>2.3595534055914249E-3</v>
      </c>
      <c r="Q154">
        <f t="shared" si="16"/>
        <v>1.9849313142461574E-3</v>
      </c>
    </row>
    <row r="155" spans="1:17" x14ac:dyDescent="0.2">
      <c r="A155" s="1">
        <v>41428</v>
      </c>
      <c r="B155" s="2">
        <f t="shared" si="17"/>
        <v>36</v>
      </c>
      <c r="C155">
        <v>23.199633710000001</v>
      </c>
      <c r="D155">
        <v>9.6999999999999993</v>
      </c>
      <c r="E155">
        <v>4.4778715179999997</v>
      </c>
      <c r="F155">
        <v>28.333079000000001</v>
      </c>
      <c r="G155">
        <v>6.7878194150000004</v>
      </c>
      <c r="H155">
        <v>0</v>
      </c>
      <c r="I155">
        <f t="shared" si="12"/>
        <v>28.421762192000003</v>
      </c>
      <c r="J155">
        <f t="shared" si="15"/>
        <v>32.899633710000003</v>
      </c>
      <c r="K155">
        <f t="shared" si="13"/>
        <v>8.8683192000001299E-2</v>
      </c>
      <c r="P155">
        <f t="shared" si="14"/>
        <v>3.1202566329600542E-3</v>
      </c>
      <c r="Q155">
        <f t="shared" si="16"/>
        <v>2.6955677616874382E-3</v>
      </c>
    </row>
    <row r="156" spans="1:17" x14ac:dyDescent="0.2">
      <c r="A156" s="1">
        <v>41429</v>
      </c>
      <c r="B156" s="2">
        <f t="shared" si="17"/>
        <v>36</v>
      </c>
      <c r="C156">
        <v>28.333079000000001</v>
      </c>
      <c r="D156">
        <v>0</v>
      </c>
      <c r="E156">
        <v>4.5072042510000001</v>
      </c>
      <c r="F156">
        <v>23.459185389999998</v>
      </c>
      <c r="G156">
        <v>6.8344475310000004</v>
      </c>
      <c r="H156">
        <v>0</v>
      </c>
      <c r="I156">
        <f t="shared" si="12"/>
        <v>23.825874749</v>
      </c>
      <c r="J156">
        <f t="shared" si="15"/>
        <v>28.333079000000001</v>
      </c>
      <c r="K156">
        <f t="shared" si="13"/>
        <v>0.36668935900000221</v>
      </c>
      <c r="P156">
        <f t="shared" si="14"/>
        <v>1.5390383894106243E-2</v>
      </c>
      <c r="Q156">
        <f t="shared" si="16"/>
        <v>1.2942093550792774E-2</v>
      </c>
    </row>
    <row r="157" spans="1:17" x14ac:dyDescent="0.2">
      <c r="A157" s="1">
        <v>41430</v>
      </c>
      <c r="B157" s="2">
        <f t="shared" si="17"/>
        <v>36</v>
      </c>
      <c r="C157">
        <v>23.459185389999998</v>
      </c>
      <c r="D157">
        <v>0</v>
      </c>
      <c r="E157">
        <v>5.340819014</v>
      </c>
      <c r="F157">
        <v>17.814418620000001</v>
      </c>
      <c r="G157">
        <v>6.6834936709999999</v>
      </c>
      <c r="H157">
        <v>0</v>
      </c>
      <c r="I157">
        <f t="shared" si="12"/>
        <v>18.118366375999997</v>
      </c>
      <c r="J157">
        <f t="shared" si="15"/>
        <v>23.459185389999998</v>
      </c>
      <c r="K157">
        <f t="shared" si="13"/>
        <v>0.30394775599999591</v>
      </c>
      <c r="P157">
        <f t="shared" si="14"/>
        <v>1.677567114453608E-2</v>
      </c>
      <c r="Q157">
        <f t="shared" si="16"/>
        <v>1.2956449720950686E-2</v>
      </c>
    </row>
    <row r="158" spans="1:17" x14ac:dyDescent="0.2">
      <c r="A158" s="1">
        <v>41431</v>
      </c>
      <c r="B158" s="2">
        <f t="shared" si="17"/>
        <v>36</v>
      </c>
      <c r="C158">
        <v>17.814418620000001</v>
      </c>
      <c r="D158">
        <v>0</v>
      </c>
      <c r="E158">
        <v>1.7050127079999999</v>
      </c>
      <c r="F158">
        <v>15.998641040000001</v>
      </c>
      <c r="G158">
        <v>8.7183859629999994</v>
      </c>
      <c r="H158">
        <v>0</v>
      </c>
      <c r="I158">
        <f t="shared" si="12"/>
        <v>16.109405912</v>
      </c>
      <c r="J158">
        <f t="shared" si="15"/>
        <v>17.814418620000001</v>
      </c>
      <c r="K158">
        <f t="shared" si="13"/>
        <v>0.11076487199999896</v>
      </c>
      <c r="P158">
        <f t="shared" si="14"/>
        <v>6.8757887537919385E-3</v>
      </c>
      <c r="Q158">
        <f t="shared" si="16"/>
        <v>6.2177090570693545E-3</v>
      </c>
    </row>
    <row r="159" spans="1:17" x14ac:dyDescent="0.2">
      <c r="A159" s="1">
        <v>41432</v>
      </c>
      <c r="B159" s="2">
        <f t="shared" si="17"/>
        <v>37</v>
      </c>
      <c r="C159">
        <v>15.998641040000001</v>
      </c>
      <c r="D159">
        <v>9.3000000000000007</v>
      </c>
      <c r="E159">
        <v>3.4941738070000001</v>
      </c>
      <c r="F159">
        <v>21.765459140000001</v>
      </c>
      <c r="G159">
        <v>8.4635432890000004</v>
      </c>
      <c r="H159">
        <v>0</v>
      </c>
      <c r="I159">
        <f t="shared" si="12"/>
        <v>21.804467233</v>
      </c>
      <c r="J159">
        <f t="shared" si="15"/>
        <v>25.29864104</v>
      </c>
      <c r="K159">
        <f t="shared" si="13"/>
        <v>3.9008092999999633E-2</v>
      </c>
      <c r="P159">
        <f t="shared" si="14"/>
        <v>1.7889954651569189E-3</v>
      </c>
      <c r="Q159">
        <f t="shared" si="16"/>
        <v>1.541904679319472E-3</v>
      </c>
    </row>
    <row r="160" spans="1:17" x14ac:dyDescent="0.2">
      <c r="A160" s="1">
        <v>41433</v>
      </c>
      <c r="B160" s="2">
        <f t="shared" si="17"/>
        <v>37</v>
      </c>
      <c r="C160">
        <v>21.765459140000001</v>
      </c>
      <c r="D160">
        <v>0</v>
      </c>
      <c r="E160">
        <v>4.166352915</v>
      </c>
      <c r="F160">
        <v>17.589010630000001</v>
      </c>
      <c r="G160">
        <v>8.7433943349999996</v>
      </c>
      <c r="H160">
        <v>0</v>
      </c>
      <c r="I160">
        <f t="shared" si="12"/>
        <v>17.599106225</v>
      </c>
      <c r="J160">
        <f t="shared" si="15"/>
        <v>21.765459140000001</v>
      </c>
      <c r="K160">
        <f t="shared" si="13"/>
        <v>1.0095594999999236E-2</v>
      </c>
      <c r="P160">
        <f t="shared" si="14"/>
        <v>5.7364248336987556E-4</v>
      </c>
      <c r="Q160">
        <f t="shared" si="16"/>
        <v>4.6383560921284728E-4</v>
      </c>
    </row>
    <row r="161" spans="1:17" x14ac:dyDescent="0.2">
      <c r="A161" s="1">
        <v>41434</v>
      </c>
      <c r="B161" s="2">
        <f t="shared" si="17"/>
        <v>38</v>
      </c>
      <c r="C161">
        <v>17.589010630000001</v>
      </c>
      <c r="D161">
        <v>9.1</v>
      </c>
      <c r="E161">
        <v>3.9337569179999998</v>
      </c>
      <c r="F161">
        <v>22.658560909999999</v>
      </c>
      <c r="G161">
        <v>8.927980604</v>
      </c>
      <c r="H161">
        <v>0</v>
      </c>
      <c r="I161">
        <f t="shared" si="12"/>
        <v>22.755253711999998</v>
      </c>
      <c r="J161">
        <f t="shared" si="15"/>
        <v>26.689010629999999</v>
      </c>
      <c r="K161">
        <f t="shared" si="13"/>
        <v>9.6692801999999745E-2</v>
      </c>
      <c r="P161">
        <f t="shared" si="14"/>
        <v>4.2492517650554139E-3</v>
      </c>
      <c r="Q161">
        <f t="shared" si="16"/>
        <v>3.622944414856331E-3</v>
      </c>
    </row>
    <row r="162" spans="1:17" x14ac:dyDescent="0.2">
      <c r="A162" s="1">
        <v>41435</v>
      </c>
      <c r="B162" s="2">
        <f t="shared" si="17"/>
        <v>38</v>
      </c>
      <c r="C162">
        <v>22.658560909999999</v>
      </c>
      <c r="D162">
        <v>0</v>
      </c>
      <c r="E162">
        <v>4.8981301190000002</v>
      </c>
      <c r="F162">
        <v>17.28683766</v>
      </c>
      <c r="G162">
        <v>8.1537710220000008</v>
      </c>
      <c r="H162">
        <v>0</v>
      </c>
      <c r="I162">
        <f t="shared" si="12"/>
        <v>17.760430790999997</v>
      </c>
      <c r="J162">
        <f t="shared" si="15"/>
        <v>22.658560909999999</v>
      </c>
      <c r="K162">
        <f t="shared" si="13"/>
        <v>0.47359313099999767</v>
      </c>
      <c r="P162">
        <f t="shared" si="14"/>
        <v>2.6665633090385873E-2</v>
      </c>
      <c r="Q162">
        <f t="shared" si="16"/>
        <v>2.0901289048369565E-2</v>
      </c>
    </row>
    <row r="163" spans="1:17" x14ac:dyDescent="0.2">
      <c r="A163" s="1">
        <v>41436</v>
      </c>
      <c r="B163" s="2">
        <f t="shared" si="17"/>
        <v>38</v>
      </c>
      <c r="C163">
        <v>17.28683766</v>
      </c>
      <c r="D163">
        <v>0</v>
      </c>
      <c r="E163">
        <v>3.2126335419999998</v>
      </c>
      <c r="F163">
        <v>13.979382859999999</v>
      </c>
      <c r="G163">
        <v>8.3249715460000004</v>
      </c>
      <c r="H163">
        <v>0</v>
      </c>
      <c r="I163">
        <f t="shared" si="12"/>
        <v>14.074204118000001</v>
      </c>
      <c r="J163">
        <f t="shared" si="15"/>
        <v>17.28683766</v>
      </c>
      <c r="K163">
        <f t="shared" si="13"/>
        <v>9.4821258000001407E-2</v>
      </c>
      <c r="P163">
        <f t="shared" si="14"/>
        <v>6.7372376586986634E-3</v>
      </c>
      <c r="Q163">
        <f t="shared" si="16"/>
        <v>5.485170848767108E-3</v>
      </c>
    </row>
    <row r="164" spans="1:17" x14ac:dyDescent="0.2">
      <c r="A164" s="1">
        <v>41437</v>
      </c>
      <c r="B164" s="2">
        <f t="shared" si="17"/>
        <v>39</v>
      </c>
      <c r="C164">
        <v>13.979382859999999</v>
      </c>
      <c r="D164">
        <v>14.5</v>
      </c>
      <c r="E164">
        <v>2.804246665</v>
      </c>
      <c r="F164">
        <v>25.674569940000001</v>
      </c>
      <c r="G164">
        <v>8.4178706870000006</v>
      </c>
      <c r="H164">
        <v>0</v>
      </c>
      <c r="I164">
        <f t="shared" si="12"/>
        <v>25.675136195</v>
      </c>
      <c r="J164">
        <f t="shared" si="15"/>
        <v>28.479382860000001</v>
      </c>
      <c r="K164">
        <f t="shared" si="13"/>
        <v>5.6625499999896078E-4</v>
      </c>
      <c r="P164">
        <f t="shared" si="14"/>
        <v>2.2054605502316041E-5</v>
      </c>
      <c r="Q164">
        <f t="shared" si="16"/>
        <v>1.9882980006363831E-5</v>
      </c>
    </row>
    <row r="165" spans="1:17" x14ac:dyDescent="0.2">
      <c r="A165" s="1">
        <v>41438</v>
      </c>
      <c r="B165" s="2">
        <f t="shared" si="17"/>
        <v>39</v>
      </c>
      <c r="C165">
        <v>25.674569940000001</v>
      </c>
      <c r="D165">
        <v>0</v>
      </c>
      <c r="E165">
        <v>3.3815374560000002</v>
      </c>
      <c r="F165">
        <v>22.29190371</v>
      </c>
      <c r="G165">
        <v>6.8976566249999998</v>
      </c>
      <c r="H165">
        <v>0</v>
      </c>
      <c r="I165">
        <f t="shared" si="12"/>
        <v>22.293032484000001</v>
      </c>
      <c r="J165">
        <f t="shared" si="15"/>
        <v>25.674569940000001</v>
      </c>
      <c r="K165">
        <f t="shared" si="13"/>
        <v>1.1287740000014423E-3</v>
      </c>
      <c r="P165">
        <f t="shared" si="14"/>
        <v>5.0633488324730073E-5</v>
      </c>
      <c r="Q165">
        <f t="shared" si="16"/>
        <v>4.3964670202434648E-5</v>
      </c>
    </row>
    <row r="166" spans="1:17" x14ac:dyDescent="0.2">
      <c r="A166" s="1">
        <v>41439</v>
      </c>
      <c r="B166" s="2">
        <f t="shared" si="17"/>
        <v>39</v>
      </c>
      <c r="C166">
        <v>22.29190371</v>
      </c>
      <c r="D166">
        <v>0</v>
      </c>
      <c r="E166">
        <v>2.2108124299999998</v>
      </c>
      <c r="F166">
        <v>19.401257319999999</v>
      </c>
      <c r="G166">
        <v>7.224962272</v>
      </c>
      <c r="H166">
        <v>0</v>
      </c>
      <c r="I166">
        <f t="shared" si="12"/>
        <v>20.081091279999999</v>
      </c>
      <c r="J166">
        <f t="shared" si="15"/>
        <v>22.29190371</v>
      </c>
      <c r="K166">
        <f t="shared" si="13"/>
        <v>0.67983395999999985</v>
      </c>
      <c r="P166">
        <f t="shared" si="14"/>
        <v>3.3854433034577587E-2</v>
      </c>
      <c r="Q166">
        <f t="shared" si="16"/>
        <v>3.0496900078346868E-2</v>
      </c>
    </row>
    <row r="167" spans="1:17" x14ac:dyDescent="0.2">
      <c r="A167" s="1">
        <v>41440</v>
      </c>
      <c r="B167" s="2">
        <f t="shared" si="17"/>
        <v>39</v>
      </c>
      <c r="C167">
        <v>19.401257319999999</v>
      </c>
      <c r="D167">
        <v>0</v>
      </c>
      <c r="E167">
        <v>4.1873770090000004</v>
      </c>
      <c r="F167">
        <v>15.10892572</v>
      </c>
      <c r="G167">
        <v>7.0396334249999999</v>
      </c>
      <c r="H167">
        <v>0</v>
      </c>
      <c r="I167">
        <f t="shared" si="12"/>
        <v>15.213880310999999</v>
      </c>
      <c r="J167">
        <f t="shared" si="15"/>
        <v>19.401257319999999</v>
      </c>
      <c r="K167">
        <f t="shared" si="13"/>
        <v>0.10495459099999849</v>
      </c>
      <c r="P167">
        <f t="shared" si="14"/>
        <v>6.8986076434500287E-3</v>
      </c>
      <c r="Q167">
        <f t="shared" si="16"/>
        <v>5.409679860892567E-3</v>
      </c>
    </row>
    <row r="168" spans="1:17" x14ac:dyDescent="0.2">
      <c r="A168" s="1">
        <v>41441</v>
      </c>
      <c r="B168" s="2">
        <f t="shared" si="17"/>
        <v>39</v>
      </c>
      <c r="C168">
        <v>15.10892572</v>
      </c>
      <c r="D168">
        <v>0</v>
      </c>
      <c r="E168">
        <v>3.0028961060000001</v>
      </c>
      <c r="F168">
        <v>12.105902589999999</v>
      </c>
      <c r="G168">
        <v>8.4933267210000007</v>
      </c>
      <c r="H168">
        <v>0</v>
      </c>
      <c r="I168">
        <f t="shared" si="12"/>
        <v>12.106029614000001</v>
      </c>
      <c r="J168">
        <f t="shared" si="15"/>
        <v>15.10892572</v>
      </c>
      <c r="K168">
        <f t="shared" si="13"/>
        <v>1.2702400000108582E-4</v>
      </c>
      <c r="P168">
        <f t="shared" si="14"/>
        <v>1.0492622606357174E-5</v>
      </c>
      <c r="Q168">
        <f t="shared" si="16"/>
        <v>8.4072158639936596E-6</v>
      </c>
    </row>
    <row r="169" spans="1:17" x14ac:dyDescent="0.2">
      <c r="A169" s="1">
        <v>41442</v>
      </c>
      <c r="B169" s="2">
        <f t="shared" si="17"/>
        <v>40</v>
      </c>
      <c r="C169">
        <v>12.105902589999999</v>
      </c>
      <c r="D169">
        <v>10.9</v>
      </c>
      <c r="E169">
        <v>1.2418166020000001</v>
      </c>
      <c r="F169">
        <v>21.662096129999998</v>
      </c>
      <c r="G169">
        <v>9.9842726099999997</v>
      </c>
      <c r="H169">
        <v>0</v>
      </c>
      <c r="I169">
        <f t="shared" si="12"/>
        <v>21.764085987999998</v>
      </c>
      <c r="J169">
        <f t="shared" si="15"/>
        <v>23.005902589999998</v>
      </c>
      <c r="K169">
        <f t="shared" si="13"/>
        <v>0.1019898579999996</v>
      </c>
      <c r="P169">
        <f t="shared" si="14"/>
        <v>4.6861539720176376E-3</v>
      </c>
      <c r="Q169">
        <f t="shared" si="16"/>
        <v>4.4332039397720329E-3</v>
      </c>
    </row>
    <row r="170" spans="1:17" x14ac:dyDescent="0.2">
      <c r="A170" s="1">
        <v>41443</v>
      </c>
      <c r="B170" s="2">
        <f t="shared" si="17"/>
        <v>40</v>
      </c>
      <c r="C170">
        <v>21.662096129999998</v>
      </c>
      <c r="D170">
        <v>0</v>
      </c>
      <c r="E170">
        <v>1.774452865</v>
      </c>
      <c r="F170">
        <v>19.856689670000002</v>
      </c>
      <c r="G170">
        <v>9.9173720999999997</v>
      </c>
      <c r="H170">
        <v>0</v>
      </c>
      <c r="I170">
        <f t="shared" si="12"/>
        <v>19.887643264999998</v>
      </c>
      <c r="J170">
        <f t="shared" si="15"/>
        <v>21.662096129999998</v>
      </c>
      <c r="K170">
        <f t="shared" si="13"/>
        <v>3.095359499999617E-2</v>
      </c>
      <c r="P170">
        <f t="shared" si="14"/>
        <v>1.5564234830414017E-3</v>
      </c>
      <c r="Q170">
        <f t="shared" si="16"/>
        <v>1.4289288910101505E-3</v>
      </c>
    </row>
    <row r="171" spans="1:17" x14ac:dyDescent="0.2">
      <c r="A171" s="1">
        <v>41444</v>
      </c>
      <c r="B171" s="2">
        <f t="shared" si="17"/>
        <v>41</v>
      </c>
      <c r="C171">
        <v>19.856689670000002</v>
      </c>
      <c r="D171">
        <v>10.199999999999999</v>
      </c>
      <c r="E171">
        <v>1.8814197930000001</v>
      </c>
      <c r="F171">
        <v>28.044853140000001</v>
      </c>
      <c r="G171">
        <v>9.9113841750000002</v>
      </c>
      <c r="H171">
        <v>0</v>
      </c>
      <c r="I171">
        <f t="shared" si="12"/>
        <v>28.175269877000002</v>
      </c>
      <c r="J171">
        <f t="shared" si="15"/>
        <v>30.056689670000001</v>
      </c>
      <c r="K171">
        <f t="shared" si="13"/>
        <v>0.13041673700000089</v>
      </c>
      <c r="P171">
        <f t="shared" si="14"/>
        <v>4.6287662041690865E-3</v>
      </c>
      <c r="Q171">
        <f t="shared" si="16"/>
        <v>4.3390253029152327E-3</v>
      </c>
    </row>
    <row r="172" spans="1:17" x14ac:dyDescent="0.2">
      <c r="A172" s="1">
        <v>41445</v>
      </c>
      <c r="B172" s="2">
        <f t="shared" si="17"/>
        <v>41</v>
      </c>
      <c r="C172">
        <v>28.044853140000001</v>
      </c>
      <c r="D172">
        <v>0</v>
      </c>
      <c r="E172">
        <v>3.182614466</v>
      </c>
      <c r="F172">
        <v>24.860033009999999</v>
      </c>
      <c r="G172">
        <v>9.9195805440000004</v>
      </c>
      <c r="H172">
        <v>0</v>
      </c>
      <c r="I172">
        <f t="shared" si="12"/>
        <v>24.862238674</v>
      </c>
      <c r="J172">
        <f t="shared" si="15"/>
        <v>28.044853140000001</v>
      </c>
      <c r="K172">
        <f t="shared" si="13"/>
        <v>2.2056640000016614E-3</v>
      </c>
      <c r="P172">
        <f t="shared" si="14"/>
        <v>8.8715422167846153E-5</v>
      </c>
      <c r="Q172">
        <f t="shared" si="16"/>
        <v>7.8647728657767595E-5</v>
      </c>
    </row>
    <row r="173" spans="1:17" x14ac:dyDescent="0.2">
      <c r="A173" s="1">
        <v>41446</v>
      </c>
      <c r="B173" s="2">
        <f t="shared" si="17"/>
        <v>41</v>
      </c>
      <c r="C173">
        <v>24.860033009999999</v>
      </c>
      <c r="D173">
        <v>0</v>
      </c>
      <c r="E173">
        <v>1.1143467380000001</v>
      </c>
      <c r="F173">
        <v>23.74567978</v>
      </c>
      <c r="G173">
        <v>9.9791973980000002</v>
      </c>
      <c r="H173">
        <v>0</v>
      </c>
      <c r="I173">
        <f t="shared" si="12"/>
        <v>23.745686272</v>
      </c>
      <c r="J173">
        <f t="shared" si="15"/>
        <v>24.860033009999999</v>
      </c>
      <c r="K173">
        <f t="shared" si="13"/>
        <v>6.492000000690723E-6</v>
      </c>
      <c r="P173">
        <f t="shared" si="14"/>
        <v>2.7339702573034665E-7</v>
      </c>
      <c r="Q173">
        <f t="shared" si="16"/>
        <v>2.6114205069958287E-7</v>
      </c>
    </row>
    <row r="174" spans="1:17" x14ac:dyDescent="0.2">
      <c r="A174" s="1">
        <v>41447</v>
      </c>
      <c r="B174" s="2">
        <f t="shared" si="17"/>
        <v>41</v>
      </c>
      <c r="C174">
        <v>23.74567978</v>
      </c>
      <c r="D174">
        <v>0</v>
      </c>
      <c r="E174">
        <v>2.545215776</v>
      </c>
      <c r="F174">
        <v>21.142607479999999</v>
      </c>
      <c r="G174">
        <v>9.9840181860000001</v>
      </c>
      <c r="H174">
        <v>0</v>
      </c>
      <c r="I174">
        <f t="shared" si="12"/>
        <v>21.200464004000001</v>
      </c>
      <c r="J174">
        <f t="shared" si="15"/>
        <v>23.74567978</v>
      </c>
      <c r="K174">
        <f t="shared" si="13"/>
        <v>5.7856524000001741E-2</v>
      </c>
      <c r="P174">
        <f t="shared" si="14"/>
        <v>2.7290215907107341E-3</v>
      </c>
      <c r="Q174">
        <f t="shared" si="16"/>
        <v>2.4365073788593702E-3</v>
      </c>
    </row>
    <row r="175" spans="1:17" x14ac:dyDescent="0.2">
      <c r="A175" s="1">
        <v>41448</v>
      </c>
      <c r="B175" s="2">
        <f t="shared" si="17"/>
        <v>42</v>
      </c>
      <c r="C175">
        <v>21.142607479999999</v>
      </c>
      <c r="D175">
        <v>10.6</v>
      </c>
      <c r="E175">
        <v>2.8943967960000001</v>
      </c>
      <c r="F175">
        <v>28.81552615</v>
      </c>
      <c r="G175">
        <v>9.9768431540000009</v>
      </c>
      <c r="H175">
        <v>0</v>
      </c>
      <c r="I175">
        <f t="shared" si="12"/>
        <v>28.848210683999998</v>
      </c>
      <c r="J175">
        <f t="shared" si="15"/>
        <v>31.742607479999997</v>
      </c>
      <c r="K175">
        <f t="shared" si="13"/>
        <v>3.2684533999997711E-2</v>
      </c>
      <c r="P175">
        <f t="shared" si="14"/>
        <v>1.1329830594354832E-3</v>
      </c>
      <c r="Q175">
        <f t="shared" si="16"/>
        <v>1.0296738861352581E-3</v>
      </c>
    </row>
    <row r="176" spans="1:17" x14ac:dyDescent="0.2">
      <c r="A176" s="1">
        <v>41449</v>
      </c>
      <c r="B176" s="2">
        <f t="shared" si="17"/>
        <v>42</v>
      </c>
      <c r="C176">
        <v>28.81552615</v>
      </c>
      <c r="D176">
        <v>0</v>
      </c>
      <c r="E176">
        <v>2.093862643</v>
      </c>
      <c r="F176">
        <v>26.673223019999998</v>
      </c>
      <c r="G176">
        <v>9.9616317540000008</v>
      </c>
      <c r="H176">
        <v>0</v>
      </c>
      <c r="I176">
        <f t="shared" si="12"/>
        <v>26.721663506999999</v>
      </c>
      <c r="J176">
        <f t="shared" si="15"/>
        <v>28.81552615</v>
      </c>
      <c r="K176">
        <f t="shared" si="13"/>
        <v>4.8440487000000587E-2</v>
      </c>
      <c r="P176">
        <f t="shared" si="14"/>
        <v>1.8127796193268856E-3</v>
      </c>
      <c r="Q176">
        <f t="shared" si="16"/>
        <v>1.6810550932800021E-3</v>
      </c>
    </row>
    <row r="177" spans="1:17" x14ac:dyDescent="0.2">
      <c r="A177" s="1">
        <v>41450</v>
      </c>
      <c r="B177" s="2">
        <f t="shared" si="17"/>
        <v>42</v>
      </c>
      <c r="C177">
        <v>26.673223019999998</v>
      </c>
      <c r="D177">
        <v>0</v>
      </c>
      <c r="E177">
        <v>3.500216081</v>
      </c>
      <c r="F177">
        <v>23.172915339999999</v>
      </c>
      <c r="G177">
        <v>9.9675791159999996</v>
      </c>
      <c r="H177">
        <v>0</v>
      </c>
      <c r="I177">
        <f t="shared" si="12"/>
        <v>23.173006938999997</v>
      </c>
      <c r="J177">
        <f t="shared" si="15"/>
        <v>26.673223019999998</v>
      </c>
      <c r="K177">
        <f t="shared" si="13"/>
        <v>9.1598999997444253E-5</v>
      </c>
      <c r="P177">
        <f t="shared" si="14"/>
        <v>3.9528318546905464E-6</v>
      </c>
      <c r="Q177">
        <f t="shared" si="16"/>
        <v>3.4341181764484139E-6</v>
      </c>
    </row>
    <row r="178" spans="1:17" x14ac:dyDescent="0.2">
      <c r="A178" s="1">
        <v>41451</v>
      </c>
      <c r="B178" s="2">
        <f t="shared" si="17"/>
        <v>42</v>
      </c>
      <c r="C178">
        <v>23.172915339999999</v>
      </c>
      <c r="D178">
        <v>0</v>
      </c>
      <c r="E178">
        <v>2.5237463089999999</v>
      </c>
      <c r="F178">
        <v>20.193042210000002</v>
      </c>
      <c r="G178">
        <v>9.9398867499999994</v>
      </c>
      <c r="H178">
        <v>0</v>
      </c>
      <c r="I178">
        <f t="shared" si="12"/>
        <v>20.649169031</v>
      </c>
      <c r="J178">
        <f t="shared" si="15"/>
        <v>23.172915339999999</v>
      </c>
      <c r="K178">
        <f t="shared" si="13"/>
        <v>0.45612682099999802</v>
      </c>
      <c r="P178">
        <f t="shared" si="14"/>
        <v>2.2089354797533402E-2</v>
      </c>
      <c r="Q178">
        <f t="shared" si="16"/>
        <v>1.9683618323701087E-2</v>
      </c>
    </row>
    <row r="179" spans="1:17" x14ac:dyDescent="0.2">
      <c r="A179" s="1">
        <v>41452</v>
      </c>
      <c r="B179" s="2">
        <f t="shared" si="17"/>
        <v>43</v>
      </c>
      <c r="C179">
        <v>20.193042210000002</v>
      </c>
      <c r="D179">
        <v>11</v>
      </c>
      <c r="E179">
        <v>1.9787235160000001</v>
      </c>
      <c r="F179">
        <v>28.96046887</v>
      </c>
      <c r="G179">
        <v>9.9842280389999996</v>
      </c>
      <c r="H179">
        <v>0</v>
      </c>
      <c r="I179">
        <f t="shared" si="12"/>
        <v>29.214318694000003</v>
      </c>
      <c r="J179">
        <f t="shared" si="15"/>
        <v>31.193042210000002</v>
      </c>
      <c r="K179">
        <f t="shared" si="13"/>
        <v>0.25384982400000311</v>
      </c>
      <c r="P179">
        <f t="shared" si="14"/>
        <v>8.6892262201595846E-3</v>
      </c>
      <c r="Q179">
        <f t="shared" si="16"/>
        <v>8.1380271373025243E-3</v>
      </c>
    </row>
    <row r="180" spans="1:17" x14ac:dyDescent="0.2">
      <c r="A180" s="1">
        <v>41453</v>
      </c>
      <c r="B180" s="2">
        <f t="shared" si="17"/>
        <v>43</v>
      </c>
      <c r="C180">
        <v>28.96046887</v>
      </c>
      <c r="D180">
        <v>0</v>
      </c>
      <c r="E180">
        <v>3.8643678100000001</v>
      </c>
      <c r="F180">
        <v>25.09428342</v>
      </c>
      <c r="G180">
        <v>9.6288123789999993</v>
      </c>
      <c r="H180">
        <v>0</v>
      </c>
      <c r="I180">
        <f t="shared" si="12"/>
        <v>25.096101059999999</v>
      </c>
      <c r="J180">
        <f t="shared" si="15"/>
        <v>28.96046887</v>
      </c>
      <c r="K180">
        <f t="shared" si="13"/>
        <v>1.8176399999987325E-3</v>
      </c>
      <c r="P180">
        <f t="shared" si="14"/>
        <v>7.2427186822889396E-5</v>
      </c>
      <c r="Q180">
        <f t="shared" si="16"/>
        <v>6.2762796008514088E-5</v>
      </c>
    </row>
    <row r="181" spans="1:17" x14ac:dyDescent="0.2">
      <c r="A181" s="1">
        <v>41454</v>
      </c>
      <c r="B181" s="2">
        <f t="shared" si="17"/>
        <v>44</v>
      </c>
      <c r="C181">
        <v>25.09428342</v>
      </c>
      <c r="D181">
        <v>11</v>
      </c>
      <c r="E181">
        <v>2.765111176</v>
      </c>
      <c r="F181">
        <v>33.307329809999999</v>
      </c>
      <c r="G181">
        <v>10.170192549999999</v>
      </c>
      <c r="H181">
        <v>0</v>
      </c>
      <c r="I181">
        <f t="shared" si="12"/>
        <v>33.329172243999999</v>
      </c>
      <c r="J181">
        <f t="shared" si="15"/>
        <v>36.094283419999996</v>
      </c>
      <c r="K181">
        <f t="shared" si="13"/>
        <v>2.1842433999999855E-2</v>
      </c>
      <c r="P181">
        <f t="shared" si="14"/>
        <v>6.5535482969973809E-4</v>
      </c>
      <c r="Q181">
        <f t="shared" si="16"/>
        <v>6.0514940124554095E-4</v>
      </c>
    </row>
    <row r="182" spans="1:17" x14ac:dyDescent="0.2">
      <c r="A182" s="1">
        <v>41455</v>
      </c>
      <c r="B182" s="2">
        <f t="shared" si="17"/>
        <v>44</v>
      </c>
      <c r="C182">
        <v>33.307329809999999</v>
      </c>
      <c r="D182">
        <v>0</v>
      </c>
      <c r="E182">
        <v>1.861264239</v>
      </c>
      <c r="F182">
        <v>31.43871961</v>
      </c>
      <c r="G182">
        <v>10.389972439999999</v>
      </c>
      <c r="H182">
        <v>0</v>
      </c>
      <c r="I182">
        <f t="shared" si="12"/>
        <v>31.446065570999998</v>
      </c>
      <c r="J182">
        <f t="shared" si="15"/>
        <v>33.307329809999999</v>
      </c>
      <c r="K182">
        <f t="shared" si="13"/>
        <v>7.3459609999986242E-3</v>
      </c>
      <c r="P182">
        <f t="shared" si="14"/>
        <v>2.3360509070403937E-4</v>
      </c>
      <c r="Q182">
        <f t="shared" si="16"/>
        <v>2.205508830009278E-4</v>
      </c>
    </row>
    <row r="183" spans="1:17" x14ac:dyDescent="0.2">
      <c r="A183" s="1">
        <v>41456</v>
      </c>
      <c r="B183" s="2">
        <f t="shared" si="17"/>
        <v>44</v>
      </c>
      <c r="C183">
        <v>31.43871961</v>
      </c>
      <c r="D183">
        <v>0</v>
      </c>
      <c r="E183">
        <v>2.2845686920000001</v>
      </c>
      <c r="F183">
        <v>29.153916219999999</v>
      </c>
      <c r="G183">
        <v>10.565795530000001</v>
      </c>
      <c r="H183">
        <v>0</v>
      </c>
      <c r="I183">
        <f t="shared" si="12"/>
        <v>29.154150917999999</v>
      </c>
      <c r="J183">
        <f t="shared" si="15"/>
        <v>31.43871961</v>
      </c>
      <c r="K183">
        <f t="shared" si="13"/>
        <v>2.3469799999986662E-4</v>
      </c>
      <c r="P183">
        <f t="shared" si="14"/>
        <v>8.0502430223396509E-6</v>
      </c>
      <c r="Q183">
        <f t="shared" si="16"/>
        <v>7.4652531308944943E-6</v>
      </c>
    </row>
    <row r="184" spans="1:17" x14ac:dyDescent="0.2">
      <c r="A184" s="1">
        <v>41457</v>
      </c>
      <c r="B184" s="2">
        <f t="shared" si="17"/>
        <v>44</v>
      </c>
      <c r="C184">
        <v>29.153916219999999</v>
      </c>
      <c r="D184">
        <v>0</v>
      </c>
      <c r="E184">
        <v>2.3255733319999998</v>
      </c>
      <c r="F184">
        <v>26.809967400000001</v>
      </c>
      <c r="G184">
        <v>10.480372490000001</v>
      </c>
      <c r="H184">
        <v>0</v>
      </c>
      <c r="I184">
        <f t="shared" si="12"/>
        <v>26.828342887999998</v>
      </c>
      <c r="J184">
        <f t="shared" si="15"/>
        <v>29.153916219999999</v>
      </c>
      <c r="K184">
        <f t="shared" si="13"/>
        <v>1.8375487999996665E-2</v>
      </c>
      <c r="P184">
        <f t="shared" si="14"/>
        <v>6.8492817751393076E-4</v>
      </c>
      <c r="Q184">
        <f t="shared" si="16"/>
        <v>6.3029226884417063E-4</v>
      </c>
    </row>
    <row r="185" spans="1:17" x14ac:dyDescent="0.2">
      <c r="A185" s="1">
        <v>41458</v>
      </c>
      <c r="B185" s="2">
        <f t="shared" si="17"/>
        <v>45</v>
      </c>
      <c r="C185">
        <v>26.809967400000001</v>
      </c>
      <c r="D185">
        <v>10.199999999999999</v>
      </c>
      <c r="E185">
        <v>2.2045947030000002</v>
      </c>
      <c r="F185">
        <v>34.285803909999998</v>
      </c>
      <c r="G185">
        <v>10.822964649999999</v>
      </c>
      <c r="H185">
        <v>0</v>
      </c>
      <c r="I185">
        <f t="shared" si="12"/>
        <v>34.805372697000003</v>
      </c>
      <c r="J185">
        <f t="shared" si="15"/>
        <v>37.009967400000001</v>
      </c>
      <c r="K185">
        <f t="shared" si="13"/>
        <v>0.51956878700000431</v>
      </c>
      <c r="P185">
        <f t="shared" si="14"/>
        <v>1.4927832881524862E-2</v>
      </c>
      <c r="Q185">
        <f t="shared" si="16"/>
        <v>1.4038617796783153E-2</v>
      </c>
    </row>
    <row r="186" spans="1:17" x14ac:dyDescent="0.2">
      <c r="A186" s="1">
        <v>41459</v>
      </c>
      <c r="B186" s="2">
        <f t="shared" si="17"/>
        <v>45</v>
      </c>
      <c r="C186">
        <v>34.285803909999998</v>
      </c>
      <c r="D186">
        <v>0</v>
      </c>
      <c r="E186">
        <v>2.1622144599999999</v>
      </c>
      <c r="F186">
        <v>32.004784579999999</v>
      </c>
      <c r="G186">
        <v>10.71230207</v>
      </c>
      <c r="H186">
        <v>0</v>
      </c>
      <c r="I186">
        <f t="shared" si="12"/>
        <v>32.123589449999997</v>
      </c>
      <c r="J186">
        <f t="shared" si="15"/>
        <v>34.285803909999998</v>
      </c>
      <c r="K186">
        <f t="shared" si="13"/>
        <v>0.11880486999999817</v>
      </c>
      <c r="P186">
        <f t="shared" si="14"/>
        <v>3.6983684586343194E-3</v>
      </c>
      <c r="Q186">
        <f t="shared" si="16"/>
        <v>3.4651329836646138E-3</v>
      </c>
    </row>
    <row r="187" spans="1:17" x14ac:dyDescent="0.2">
      <c r="A187" s="1">
        <v>41460</v>
      </c>
      <c r="B187" s="2">
        <f t="shared" si="17"/>
        <v>45</v>
      </c>
      <c r="C187">
        <v>32.004784579999999</v>
      </c>
      <c r="D187">
        <v>0</v>
      </c>
      <c r="E187">
        <v>4.7182358930000001</v>
      </c>
      <c r="F187">
        <v>27.27500448</v>
      </c>
      <c r="G187">
        <v>10.214041119999999</v>
      </c>
      <c r="H187">
        <v>0</v>
      </c>
      <c r="I187">
        <f t="shared" si="12"/>
        <v>27.286548687</v>
      </c>
      <c r="J187">
        <f t="shared" si="15"/>
        <v>32.004784579999999</v>
      </c>
      <c r="K187">
        <f t="shared" si="13"/>
        <v>1.1544207000000029E-2</v>
      </c>
      <c r="P187">
        <f t="shared" si="14"/>
        <v>4.2307318277668365E-4</v>
      </c>
      <c r="Q187">
        <f t="shared" si="16"/>
        <v>3.6070253718295856E-4</v>
      </c>
    </row>
    <row r="188" spans="1:17" x14ac:dyDescent="0.2">
      <c r="A188" s="1">
        <v>41461</v>
      </c>
      <c r="B188" s="2">
        <f t="shared" si="17"/>
        <v>46</v>
      </c>
      <c r="C188">
        <v>27.27500448</v>
      </c>
      <c r="D188">
        <v>10.8</v>
      </c>
      <c r="E188">
        <v>2.761858835</v>
      </c>
      <c r="F188">
        <v>35.311631589999998</v>
      </c>
      <c r="G188">
        <v>10.193516320000001</v>
      </c>
      <c r="H188">
        <v>0</v>
      </c>
      <c r="I188">
        <f t="shared" si="12"/>
        <v>35.313145645000006</v>
      </c>
      <c r="J188">
        <f t="shared" si="15"/>
        <v>38.075004480000004</v>
      </c>
      <c r="K188">
        <f t="shared" si="13"/>
        <v>1.5140550000083408E-3</v>
      </c>
      <c r="P188">
        <f t="shared" si="14"/>
        <v>4.2875109887660662E-5</v>
      </c>
      <c r="Q188">
        <f t="shared" si="16"/>
        <v>3.976506426423776E-5</v>
      </c>
    </row>
    <row r="189" spans="1:17" x14ac:dyDescent="0.2">
      <c r="A189" s="1">
        <v>41462</v>
      </c>
      <c r="B189" s="2">
        <f t="shared" si="17"/>
        <v>46</v>
      </c>
      <c r="C189">
        <v>35.311631589999998</v>
      </c>
      <c r="D189">
        <v>0</v>
      </c>
      <c r="E189">
        <v>2.872441174</v>
      </c>
      <c r="F189">
        <v>32.415530369999999</v>
      </c>
      <c r="G189">
        <v>10.841297150000001</v>
      </c>
      <c r="H189">
        <v>0</v>
      </c>
      <c r="I189">
        <f t="shared" si="12"/>
        <v>32.439190415999995</v>
      </c>
      <c r="J189">
        <f t="shared" si="15"/>
        <v>35.311631589999998</v>
      </c>
      <c r="K189">
        <f t="shared" si="13"/>
        <v>2.3660045999996271E-2</v>
      </c>
      <c r="P189">
        <f t="shared" si="14"/>
        <v>7.2936610613828442E-4</v>
      </c>
      <c r="Q189">
        <f t="shared" si="16"/>
        <v>6.7003547937718707E-4</v>
      </c>
    </row>
    <row r="190" spans="1:17" x14ac:dyDescent="0.2">
      <c r="A190" s="1">
        <v>41463</v>
      </c>
      <c r="B190" s="2">
        <f t="shared" si="17"/>
        <v>46</v>
      </c>
      <c r="C190">
        <v>32.415530369999999</v>
      </c>
      <c r="D190">
        <v>0</v>
      </c>
      <c r="E190">
        <v>2.2841739479999998</v>
      </c>
      <c r="F190">
        <v>29.50847345</v>
      </c>
      <c r="G190">
        <v>10.738546639999999</v>
      </c>
      <c r="H190">
        <v>0</v>
      </c>
      <c r="I190">
        <f t="shared" si="12"/>
        <v>30.131356422</v>
      </c>
      <c r="J190">
        <f t="shared" si="15"/>
        <v>32.415530369999999</v>
      </c>
      <c r="K190">
        <f t="shared" si="13"/>
        <v>0.62288297199999931</v>
      </c>
      <c r="P190">
        <f t="shared" si="14"/>
        <v>2.067225130114653E-2</v>
      </c>
      <c r="Q190">
        <f t="shared" si="16"/>
        <v>1.9215572439822443E-2</v>
      </c>
    </row>
    <row r="191" spans="1:17" x14ac:dyDescent="0.2">
      <c r="A191" s="1">
        <v>41464</v>
      </c>
      <c r="B191" s="2">
        <f t="shared" si="17"/>
        <v>46</v>
      </c>
      <c r="C191">
        <v>29.50847345</v>
      </c>
      <c r="D191">
        <v>0</v>
      </c>
      <c r="E191">
        <v>1.974021963</v>
      </c>
      <c r="F191">
        <v>27.33745931</v>
      </c>
      <c r="G191">
        <v>9.9541100230000001</v>
      </c>
      <c r="H191">
        <v>0</v>
      </c>
      <c r="I191">
        <f t="shared" si="12"/>
        <v>27.534451487000002</v>
      </c>
      <c r="J191">
        <f t="shared" si="15"/>
        <v>29.50847345</v>
      </c>
      <c r="K191">
        <f t="shared" si="13"/>
        <v>0.19699217700000204</v>
      </c>
      <c r="P191">
        <f t="shared" si="14"/>
        <v>7.1543890058245428E-3</v>
      </c>
      <c r="Q191">
        <f t="shared" si="16"/>
        <v>6.6757833926513075E-3</v>
      </c>
    </row>
    <row r="192" spans="1:17" x14ac:dyDescent="0.2">
      <c r="A192" s="1">
        <v>41465</v>
      </c>
      <c r="B192" s="2">
        <f t="shared" si="17"/>
        <v>46</v>
      </c>
      <c r="C192">
        <v>27.33745931</v>
      </c>
      <c r="D192">
        <v>0</v>
      </c>
      <c r="E192">
        <v>3.055370972</v>
      </c>
      <c r="F192">
        <v>24.185401469999999</v>
      </c>
      <c r="G192">
        <v>9.9347031309999991</v>
      </c>
      <c r="H192">
        <v>0</v>
      </c>
      <c r="I192">
        <f t="shared" si="12"/>
        <v>24.282088338000001</v>
      </c>
      <c r="J192">
        <f t="shared" si="15"/>
        <v>27.33745931</v>
      </c>
      <c r="K192">
        <f t="shared" si="13"/>
        <v>9.668686800000259E-2</v>
      </c>
      <c r="P192">
        <f t="shared" si="14"/>
        <v>3.9818184768191248E-3</v>
      </c>
      <c r="Q192">
        <f t="shared" si="16"/>
        <v>3.5367905591956266E-3</v>
      </c>
    </row>
    <row r="193" spans="1:17" x14ac:dyDescent="0.2">
      <c r="A193" s="1">
        <v>41466</v>
      </c>
      <c r="B193" s="2">
        <f t="shared" si="17"/>
        <v>46</v>
      </c>
      <c r="C193">
        <v>24.185401469999999</v>
      </c>
      <c r="D193">
        <v>0</v>
      </c>
      <c r="E193">
        <v>1.717705104</v>
      </c>
      <c r="F193">
        <v>22.42733024</v>
      </c>
      <c r="G193">
        <v>10.5887434</v>
      </c>
      <c r="H193">
        <v>0</v>
      </c>
      <c r="I193">
        <f t="shared" si="12"/>
        <v>22.467696365999998</v>
      </c>
      <c r="J193">
        <f t="shared" si="15"/>
        <v>24.185401469999999</v>
      </c>
      <c r="K193">
        <f t="shared" si="13"/>
        <v>4.0366125999998559E-2</v>
      </c>
      <c r="P193">
        <f t="shared" si="14"/>
        <v>1.7966294960743711E-3</v>
      </c>
      <c r="Q193">
        <f t="shared" si="16"/>
        <v>1.6690285687450514E-3</v>
      </c>
    </row>
    <row r="194" spans="1:17" x14ac:dyDescent="0.2">
      <c r="A194" s="1">
        <v>41467</v>
      </c>
      <c r="B194" s="2">
        <f t="shared" si="17"/>
        <v>46</v>
      </c>
      <c r="C194">
        <v>22.42733024</v>
      </c>
      <c r="D194">
        <v>0</v>
      </c>
      <c r="E194">
        <v>2.2255909539999998</v>
      </c>
      <c r="F194">
        <v>20.153764729999999</v>
      </c>
      <c r="G194">
        <v>9.9606461339999992</v>
      </c>
      <c r="H194">
        <v>0</v>
      </c>
      <c r="I194">
        <f t="shared" ref="I194:I257" si="18">C194+D194-E194</f>
        <v>20.201739285999999</v>
      </c>
      <c r="J194">
        <f t="shared" si="15"/>
        <v>22.42733024</v>
      </c>
      <c r="K194">
        <f t="shared" ref="K194:K257" si="19">I194-F194</f>
        <v>4.7974555999999779E-2</v>
      </c>
      <c r="P194">
        <f t="shared" ref="P194:P257" si="20">K194/I194</f>
        <v>2.3747735440406664E-3</v>
      </c>
      <c r="Q194">
        <f t="shared" si="16"/>
        <v>2.1391113202781187E-3</v>
      </c>
    </row>
    <row r="195" spans="1:17" x14ac:dyDescent="0.2">
      <c r="A195" s="1">
        <v>41468</v>
      </c>
      <c r="B195" s="2">
        <f t="shared" si="17"/>
        <v>46</v>
      </c>
      <c r="C195">
        <v>20.153764729999999</v>
      </c>
      <c r="D195">
        <v>0</v>
      </c>
      <c r="E195">
        <v>2.8623461200000002</v>
      </c>
      <c r="F195">
        <v>16.29586793</v>
      </c>
      <c r="G195">
        <v>10.212694819999999</v>
      </c>
      <c r="H195">
        <v>0</v>
      </c>
      <c r="I195">
        <f t="shared" si="18"/>
        <v>17.291418609999997</v>
      </c>
      <c r="J195">
        <f t="shared" ref="J195:J258" si="21">C195+D195</f>
        <v>20.153764729999999</v>
      </c>
      <c r="K195">
        <f t="shared" si="19"/>
        <v>0.99555067999999736</v>
      </c>
      <c r="P195">
        <f t="shared" si="20"/>
        <v>5.7574841165677931E-2</v>
      </c>
      <c r="Q195">
        <f t="shared" ref="Q195:Q258" si="22">K195/J195</f>
        <v>4.9397752397003267E-2</v>
      </c>
    </row>
    <row r="196" spans="1:17" x14ac:dyDescent="0.2">
      <c r="A196" s="1">
        <v>41469</v>
      </c>
      <c r="B196" s="2">
        <f t="shared" ref="B196:B259" si="23">IF(D196&gt;0,B195+1,B195)</f>
        <v>47</v>
      </c>
      <c r="C196">
        <v>16.29586793</v>
      </c>
      <c r="D196">
        <v>10.5</v>
      </c>
      <c r="E196">
        <v>3.4452373989999998</v>
      </c>
      <c r="F196">
        <v>23.340895419999999</v>
      </c>
      <c r="G196">
        <v>10.24649745</v>
      </c>
      <c r="H196">
        <v>0</v>
      </c>
      <c r="I196">
        <f t="shared" si="18"/>
        <v>23.350630531</v>
      </c>
      <c r="J196">
        <f t="shared" si="21"/>
        <v>26.79586793</v>
      </c>
      <c r="K196">
        <f t="shared" si="19"/>
        <v>9.7351110000012397E-3</v>
      </c>
      <c r="P196">
        <f t="shared" si="20"/>
        <v>4.1690998395426754E-4</v>
      </c>
      <c r="Q196">
        <f t="shared" si="22"/>
        <v>3.6330642565610079E-4</v>
      </c>
    </row>
    <row r="197" spans="1:17" x14ac:dyDescent="0.2">
      <c r="A197" s="1">
        <v>41470</v>
      </c>
      <c r="B197" s="2">
        <f t="shared" si="23"/>
        <v>47</v>
      </c>
      <c r="C197">
        <v>23.340895419999999</v>
      </c>
      <c r="D197">
        <v>0</v>
      </c>
      <c r="E197">
        <v>1.1048281179999999</v>
      </c>
      <c r="F197">
        <v>20.800370520000001</v>
      </c>
      <c r="G197">
        <v>10.36578355</v>
      </c>
      <c r="H197">
        <v>0</v>
      </c>
      <c r="I197">
        <f t="shared" si="18"/>
        <v>22.236067301999999</v>
      </c>
      <c r="J197">
        <f t="shared" si="21"/>
        <v>23.340895419999999</v>
      </c>
      <c r="K197">
        <f t="shared" si="19"/>
        <v>1.4356967819999973</v>
      </c>
      <c r="P197">
        <f t="shared" si="20"/>
        <v>6.4566128645907869E-2</v>
      </c>
      <c r="Q197">
        <f t="shared" si="22"/>
        <v>6.1509927368501846E-2</v>
      </c>
    </row>
    <row r="198" spans="1:17" x14ac:dyDescent="0.2">
      <c r="A198" s="1">
        <v>41471</v>
      </c>
      <c r="B198" s="2">
        <f t="shared" si="23"/>
        <v>47</v>
      </c>
      <c r="C198">
        <v>20.800370520000001</v>
      </c>
      <c r="D198">
        <v>0</v>
      </c>
      <c r="E198">
        <v>2.2331597159999999</v>
      </c>
      <c r="F198">
        <v>18.4637402</v>
      </c>
      <c r="G198">
        <v>9.1799614629999997</v>
      </c>
      <c r="H198">
        <v>0</v>
      </c>
      <c r="I198">
        <f t="shared" si="18"/>
        <v>18.567210804000002</v>
      </c>
      <c r="J198">
        <f t="shared" si="21"/>
        <v>20.800370520000001</v>
      </c>
      <c r="K198">
        <f t="shared" si="19"/>
        <v>0.10347060400000174</v>
      </c>
      <c r="P198">
        <f t="shared" si="20"/>
        <v>5.5727596940791284E-3</v>
      </c>
      <c r="Q198">
        <f t="shared" si="22"/>
        <v>4.9744596568850798E-3</v>
      </c>
    </row>
    <row r="199" spans="1:17" x14ac:dyDescent="0.2">
      <c r="A199" s="1">
        <v>41472</v>
      </c>
      <c r="B199" s="2">
        <f t="shared" si="23"/>
        <v>47</v>
      </c>
      <c r="C199">
        <v>18.4637402</v>
      </c>
      <c r="D199">
        <v>0</v>
      </c>
      <c r="E199">
        <v>5.6552879389999999</v>
      </c>
      <c r="F199">
        <v>12.684239099999999</v>
      </c>
      <c r="G199">
        <v>8.4791293900000007</v>
      </c>
      <c r="H199">
        <v>0</v>
      </c>
      <c r="I199">
        <f t="shared" si="18"/>
        <v>12.808452260999999</v>
      </c>
      <c r="J199">
        <f t="shared" si="21"/>
        <v>18.4637402</v>
      </c>
      <c r="K199">
        <f t="shared" si="19"/>
        <v>0.12421316100000013</v>
      </c>
      <c r="P199">
        <f t="shared" si="20"/>
        <v>9.6977494601914044E-3</v>
      </c>
      <c r="Q199">
        <f t="shared" si="22"/>
        <v>6.7274105709091451E-3</v>
      </c>
    </row>
    <row r="200" spans="1:17" x14ac:dyDescent="0.2">
      <c r="A200" s="1">
        <v>41473</v>
      </c>
      <c r="B200" s="2">
        <f t="shared" si="23"/>
        <v>47</v>
      </c>
      <c r="C200">
        <v>12.684239099999999</v>
      </c>
      <c r="D200">
        <v>0</v>
      </c>
      <c r="E200">
        <v>3.1886536529999998</v>
      </c>
      <c r="F200">
        <v>9.4953170890000003</v>
      </c>
      <c r="G200">
        <v>9.4327497600000001</v>
      </c>
      <c r="H200">
        <v>0</v>
      </c>
      <c r="I200">
        <f t="shared" si="18"/>
        <v>9.4955854469999998</v>
      </c>
      <c r="J200">
        <f t="shared" si="21"/>
        <v>12.684239099999999</v>
      </c>
      <c r="K200">
        <f t="shared" si="19"/>
        <v>2.6835799999957999E-4</v>
      </c>
      <c r="P200">
        <f t="shared" si="20"/>
        <v>2.8261343283932431E-5</v>
      </c>
      <c r="Q200">
        <f t="shared" si="22"/>
        <v>2.1156807111873191E-5</v>
      </c>
    </row>
    <row r="201" spans="1:17" x14ac:dyDescent="0.2">
      <c r="A201" s="1">
        <v>41474</v>
      </c>
      <c r="B201" s="2">
        <f t="shared" si="23"/>
        <v>48</v>
      </c>
      <c r="C201">
        <v>9.4953170890000003</v>
      </c>
      <c r="D201">
        <v>15.2</v>
      </c>
      <c r="E201">
        <v>2.4611569219999998</v>
      </c>
      <c r="F201">
        <v>22.00741382</v>
      </c>
      <c r="G201">
        <v>8.3510061289999999</v>
      </c>
      <c r="H201">
        <v>0</v>
      </c>
      <c r="I201">
        <f t="shared" si="18"/>
        <v>22.234160166999999</v>
      </c>
      <c r="J201">
        <f t="shared" si="21"/>
        <v>24.695317089</v>
      </c>
      <c r="K201">
        <f t="shared" si="19"/>
        <v>0.22674634699999885</v>
      </c>
      <c r="P201">
        <f t="shared" si="20"/>
        <v>1.0198107115218877E-2</v>
      </c>
      <c r="Q201">
        <f t="shared" si="22"/>
        <v>9.1817548316072504E-3</v>
      </c>
    </row>
    <row r="202" spans="1:17" x14ac:dyDescent="0.2">
      <c r="A202" s="1">
        <v>41475</v>
      </c>
      <c r="B202" s="2">
        <f t="shared" si="23"/>
        <v>48</v>
      </c>
      <c r="C202">
        <v>22.00741382</v>
      </c>
      <c r="D202">
        <v>0</v>
      </c>
      <c r="E202">
        <v>4.1326276689999997</v>
      </c>
      <c r="F202">
        <v>17.874603239999999</v>
      </c>
      <c r="G202">
        <v>8.9504515169999994</v>
      </c>
      <c r="H202">
        <v>0</v>
      </c>
      <c r="I202">
        <f t="shared" si="18"/>
        <v>17.874786151000002</v>
      </c>
      <c r="J202">
        <f t="shared" si="21"/>
        <v>22.00741382</v>
      </c>
      <c r="K202">
        <f t="shared" si="19"/>
        <v>1.8291100000311644E-4</v>
      </c>
      <c r="P202">
        <f t="shared" si="20"/>
        <v>1.0232905639147101E-5</v>
      </c>
      <c r="Q202">
        <f t="shared" si="22"/>
        <v>8.311335511712409E-6</v>
      </c>
    </row>
    <row r="203" spans="1:17" x14ac:dyDescent="0.2">
      <c r="A203" s="1">
        <v>41476</v>
      </c>
      <c r="B203" s="2">
        <f t="shared" si="23"/>
        <v>49</v>
      </c>
      <c r="C203">
        <v>17.874603239999999</v>
      </c>
      <c r="D203">
        <v>16.3</v>
      </c>
      <c r="E203">
        <v>4.4277568110000001</v>
      </c>
      <c r="F203">
        <v>29.73661954</v>
      </c>
      <c r="G203">
        <v>8.2944540609999997</v>
      </c>
      <c r="H203">
        <v>0</v>
      </c>
      <c r="I203">
        <f t="shared" si="18"/>
        <v>29.746846428999994</v>
      </c>
      <c r="J203">
        <f t="shared" si="21"/>
        <v>34.174603239999996</v>
      </c>
      <c r="K203">
        <f t="shared" si="19"/>
        <v>1.0226888999994799E-2</v>
      </c>
      <c r="P203">
        <f t="shared" si="20"/>
        <v>3.4379741813655502E-4</v>
      </c>
      <c r="Q203">
        <f t="shared" si="22"/>
        <v>2.9925406677507927E-4</v>
      </c>
    </row>
    <row r="204" spans="1:17" x14ac:dyDescent="0.2">
      <c r="A204" s="1">
        <v>41477</v>
      </c>
      <c r="B204" s="2">
        <f t="shared" si="23"/>
        <v>49</v>
      </c>
      <c r="C204">
        <v>29.73661954</v>
      </c>
      <c r="D204">
        <v>0</v>
      </c>
      <c r="E204">
        <v>3.807673307</v>
      </c>
      <c r="F204">
        <v>25.656908300000001</v>
      </c>
      <c r="G204">
        <v>8.5876925219999993</v>
      </c>
      <c r="H204">
        <v>0</v>
      </c>
      <c r="I204">
        <f t="shared" si="18"/>
        <v>25.928946232999998</v>
      </c>
      <c r="J204">
        <f t="shared" si="21"/>
        <v>29.73661954</v>
      </c>
      <c r="K204">
        <f t="shared" si="19"/>
        <v>0.27203793299999646</v>
      </c>
      <c r="P204">
        <f t="shared" si="20"/>
        <v>1.0491669447552457E-2</v>
      </c>
      <c r="Q204">
        <f t="shared" si="22"/>
        <v>9.1482467478882935E-3</v>
      </c>
    </row>
    <row r="205" spans="1:17" x14ac:dyDescent="0.2">
      <c r="A205" s="1">
        <v>41478</v>
      </c>
      <c r="B205" s="2">
        <f t="shared" si="23"/>
        <v>49</v>
      </c>
      <c r="C205">
        <v>25.656908300000001</v>
      </c>
      <c r="D205">
        <v>0</v>
      </c>
      <c r="E205">
        <v>1.2003619830000001</v>
      </c>
      <c r="F205">
        <v>24.437161679999999</v>
      </c>
      <c r="G205">
        <v>8.6440882139999999</v>
      </c>
      <c r="H205">
        <v>0</v>
      </c>
      <c r="I205">
        <f t="shared" si="18"/>
        <v>24.456546317000001</v>
      </c>
      <c r="J205">
        <f t="shared" si="21"/>
        <v>25.656908300000001</v>
      </c>
      <c r="K205">
        <f t="shared" si="19"/>
        <v>1.9384637000001703E-2</v>
      </c>
      <c r="P205">
        <f t="shared" si="20"/>
        <v>7.9261547189626034E-4</v>
      </c>
      <c r="Q205">
        <f t="shared" si="22"/>
        <v>7.5553284804785704E-4</v>
      </c>
    </row>
    <row r="206" spans="1:17" x14ac:dyDescent="0.2">
      <c r="A206" s="1">
        <v>41479</v>
      </c>
      <c r="B206" s="2">
        <f t="shared" si="23"/>
        <v>49</v>
      </c>
      <c r="C206">
        <v>24.437161679999999</v>
      </c>
      <c r="D206">
        <v>0</v>
      </c>
      <c r="E206">
        <v>3.5505303160000001</v>
      </c>
      <c r="F206">
        <v>20.113908139999999</v>
      </c>
      <c r="G206">
        <v>9.6316645609999991</v>
      </c>
      <c r="H206">
        <v>0</v>
      </c>
      <c r="I206">
        <f t="shared" si="18"/>
        <v>20.886631363999999</v>
      </c>
      <c r="J206">
        <f t="shared" si="21"/>
        <v>24.437161679999999</v>
      </c>
      <c r="K206">
        <f t="shared" si="19"/>
        <v>0.77272322399999993</v>
      </c>
      <c r="P206">
        <f t="shared" si="20"/>
        <v>3.6996067510046561E-2</v>
      </c>
      <c r="Q206">
        <f t="shared" si="22"/>
        <v>3.1620825450953106E-2</v>
      </c>
    </row>
    <row r="207" spans="1:17" x14ac:dyDescent="0.2">
      <c r="A207" s="1">
        <v>41480</v>
      </c>
      <c r="B207" s="2">
        <f t="shared" si="23"/>
        <v>49</v>
      </c>
      <c r="C207">
        <v>20.113908139999999</v>
      </c>
      <c r="D207">
        <v>0</v>
      </c>
      <c r="E207">
        <v>3.8628806990000002</v>
      </c>
      <c r="F207">
        <v>16.23394545</v>
      </c>
      <c r="G207">
        <v>7.9307532869999999</v>
      </c>
      <c r="H207">
        <v>0</v>
      </c>
      <c r="I207">
        <f t="shared" si="18"/>
        <v>16.251027440999998</v>
      </c>
      <c r="J207">
        <f t="shared" si="21"/>
        <v>20.113908139999999</v>
      </c>
      <c r="K207">
        <f t="shared" si="19"/>
        <v>1.7081990999997743E-2</v>
      </c>
      <c r="P207">
        <f t="shared" si="20"/>
        <v>1.0511329860228586E-3</v>
      </c>
      <c r="Q207">
        <f t="shared" si="22"/>
        <v>8.4926265353808773E-4</v>
      </c>
    </row>
    <row r="208" spans="1:17" x14ac:dyDescent="0.2">
      <c r="A208" s="1">
        <v>41481</v>
      </c>
      <c r="B208" s="2">
        <f t="shared" si="23"/>
        <v>49</v>
      </c>
      <c r="C208">
        <v>16.23394545</v>
      </c>
      <c r="D208">
        <v>0</v>
      </c>
      <c r="E208">
        <v>1.3500979369999999</v>
      </c>
      <c r="F208">
        <v>14.806065419999999</v>
      </c>
      <c r="G208">
        <v>7.9502741500000003</v>
      </c>
      <c r="H208">
        <v>0</v>
      </c>
      <c r="I208">
        <f t="shared" si="18"/>
        <v>14.883847513000001</v>
      </c>
      <c r="J208">
        <f t="shared" si="21"/>
        <v>16.23394545</v>
      </c>
      <c r="K208">
        <f t="shared" si="19"/>
        <v>7.7782093000001495E-2</v>
      </c>
      <c r="P208">
        <f t="shared" si="20"/>
        <v>5.2259399279698526E-3</v>
      </c>
      <c r="Q208">
        <f t="shared" si="22"/>
        <v>4.7913240339243282E-3</v>
      </c>
    </row>
    <row r="209" spans="1:17" x14ac:dyDescent="0.2">
      <c r="A209" s="1">
        <v>41482</v>
      </c>
      <c r="B209" s="2">
        <f t="shared" si="23"/>
        <v>49</v>
      </c>
      <c r="C209">
        <v>14.806065419999999</v>
      </c>
      <c r="D209">
        <v>0</v>
      </c>
      <c r="E209">
        <v>3.5392105389999999</v>
      </c>
      <c r="F209">
        <v>11.080446540000001</v>
      </c>
      <c r="G209">
        <v>9.3272219580000009</v>
      </c>
      <c r="H209">
        <v>0</v>
      </c>
      <c r="I209">
        <f t="shared" si="18"/>
        <v>11.266854881</v>
      </c>
      <c r="J209">
        <f t="shared" si="21"/>
        <v>14.806065419999999</v>
      </c>
      <c r="K209">
        <f t="shared" si="19"/>
        <v>0.18640834099999992</v>
      </c>
      <c r="P209">
        <f t="shared" si="20"/>
        <v>1.6544842635219516E-2</v>
      </c>
      <c r="Q209">
        <f t="shared" si="22"/>
        <v>1.2589998471045518E-2</v>
      </c>
    </row>
    <row r="210" spans="1:17" x14ac:dyDescent="0.2">
      <c r="A210" s="1">
        <v>41483</v>
      </c>
      <c r="B210" s="2">
        <f t="shared" si="23"/>
        <v>49</v>
      </c>
      <c r="C210">
        <v>11.080446540000001</v>
      </c>
      <c r="D210">
        <v>0</v>
      </c>
      <c r="E210">
        <v>3.5555265720000002</v>
      </c>
      <c r="F210">
        <v>7.478855523</v>
      </c>
      <c r="G210">
        <v>7.0832182269999997</v>
      </c>
      <c r="H210">
        <v>0</v>
      </c>
      <c r="I210">
        <f t="shared" si="18"/>
        <v>7.5249199680000007</v>
      </c>
      <c r="J210">
        <f t="shared" si="21"/>
        <v>11.080446540000001</v>
      </c>
      <c r="K210">
        <f t="shared" si="19"/>
        <v>4.6064445000000731E-2</v>
      </c>
      <c r="P210">
        <f t="shared" si="20"/>
        <v>6.1215860362490871E-3</v>
      </c>
      <c r="Q210">
        <f t="shared" si="22"/>
        <v>4.1572733403577007E-3</v>
      </c>
    </row>
    <row r="211" spans="1:17" x14ac:dyDescent="0.2">
      <c r="A211" s="1">
        <v>41484</v>
      </c>
      <c r="B211" s="2">
        <f t="shared" si="23"/>
        <v>49</v>
      </c>
      <c r="C211">
        <v>7.478855523</v>
      </c>
      <c r="D211">
        <v>0</v>
      </c>
      <c r="E211">
        <v>2.7363134260000002</v>
      </c>
      <c r="F211">
        <v>4.5277779479999998</v>
      </c>
      <c r="G211">
        <v>9.6635221419999997</v>
      </c>
      <c r="H211">
        <v>0</v>
      </c>
      <c r="I211">
        <f t="shared" si="18"/>
        <v>4.7425420969999994</v>
      </c>
      <c r="J211">
        <f t="shared" si="21"/>
        <v>7.478855523</v>
      </c>
      <c r="K211">
        <f t="shared" si="19"/>
        <v>0.21476414899999963</v>
      </c>
      <c r="P211">
        <f t="shared" si="20"/>
        <v>4.5284605725662085E-2</v>
      </c>
      <c r="Q211">
        <f t="shared" si="22"/>
        <v>2.8716178343000144E-2</v>
      </c>
    </row>
    <row r="212" spans="1:17" x14ac:dyDescent="0.2">
      <c r="A212" s="1">
        <v>41485</v>
      </c>
      <c r="B212" s="2">
        <f t="shared" si="23"/>
        <v>50</v>
      </c>
      <c r="C212">
        <v>4.5277779479999998</v>
      </c>
      <c r="D212">
        <v>16</v>
      </c>
      <c r="E212">
        <v>4.8312731749999998</v>
      </c>
      <c r="F212">
        <v>15.674932249999999</v>
      </c>
      <c r="G212">
        <v>8.7594973720000002</v>
      </c>
      <c r="H212">
        <v>0</v>
      </c>
      <c r="I212">
        <f t="shared" si="18"/>
        <v>15.696504773000001</v>
      </c>
      <c r="J212">
        <f t="shared" si="21"/>
        <v>20.527777948000001</v>
      </c>
      <c r="K212">
        <f t="shared" si="19"/>
        <v>2.1572523000001453E-2</v>
      </c>
      <c r="P212">
        <f t="shared" si="20"/>
        <v>1.3743520173426734E-3</v>
      </c>
      <c r="Q212">
        <f t="shared" si="22"/>
        <v>1.05089421050091E-3</v>
      </c>
    </row>
    <row r="213" spans="1:17" x14ac:dyDescent="0.2">
      <c r="A213" s="1">
        <v>41486</v>
      </c>
      <c r="B213" s="2">
        <f t="shared" si="23"/>
        <v>50</v>
      </c>
      <c r="C213">
        <v>15.674932249999999</v>
      </c>
      <c r="D213">
        <v>0</v>
      </c>
      <c r="E213">
        <v>4.3103880349999999</v>
      </c>
      <c r="F213">
        <v>11.30449525</v>
      </c>
      <c r="G213">
        <v>9.8817680509999999</v>
      </c>
      <c r="H213">
        <v>0</v>
      </c>
      <c r="I213">
        <f t="shared" si="18"/>
        <v>11.364544214999999</v>
      </c>
      <c r="J213">
        <f t="shared" si="21"/>
        <v>15.674932249999999</v>
      </c>
      <c r="K213">
        <f t="shared" si="19"/>
        <v>6.0048964999998233E-2</v>
      </c>
      <c r="P213">
        <f t="shared" si="20"/>
        <v>5.2838867854233815E-3</v>
      </c>
      <c r="Q213">
        <f t="shared" si="22"/>
        <v>3.830891517888266E-3</v>
      </c>
    </row>
    <row r="214" spans="1:17" x14ac:dyDescent="0.2">
      <c r="A214" s="1">
        <v>41487</v>
      </c>
      <c r="B214" s="2">
        <f t="shared" si="23"/>
        <v>50</v>
      </c>
      <c r="C214">
        <v>11.30449525</v>
      </c>
      <c r="D214">
        <v>0</v>
      </c>
      <c r="E214">
        <v>3.8503342599999999</v>
      </c>
      <c r="F214">
        <v>7.378572782</v>
      </c>
      <c r="G214">
        <v>9.6433107719999995</v>
      </c>
      <c r="H214">
        <v>0</v>
      </c>
      <c r="I214">
        <f t="shared" si="18"/>
        <v>7.4541609900000001</v>
      </c>
      <c r="J214">
        <f t="shared" si="21"/>
        <v>11.30449525</v>
      </c>
      <c r="K214">
        <f t="shared" si="19"/>
        <v>7.5588208000000101E-2</v>
      </c>
      <c r="P214">
        <f t="shared" si="20"/>
        <v>1.0140404547393617E-2</v>
      </c>
      <c r="Q214">
        <f t="shared" si="22"/>
        <v>6.6865619674615811E-3</v>
      </c>
    </row>
    <row r="215" spans="1:17" x14ac:dyDescent="0.2">
      <c r="A215" s="1">
        <v>41488</v>
      </c>
      <c r="B215" s="2">
        <f t="shared" si="23"/>
        <v>50</v>
      </c>
      <c r="C215">
        <v>7.378572782</v>
      </c>
      <c r="D215">
        <v>0</v>
      </c>
      <c r="E215">
        <v>1.858422021</v>
      </c>
      <c r="F215">
        <v>5.5146405830000003</v>
      </c>
      <c r="G215">
        <v>10.76994661</v>
      </c>
      <c r="H215">
        <v>0</v>
      </c>
      <c r="I215">
        <f t="shared" si="18"/>
        <v>5.520150761</v>
      </c>
      <c r="J215">
        <f t="shared" si="21"/>
        <v>7.378572782</v>
      </c>
      <c r="K215">
        <f t="shared" si="19"/>
        <v>5.5101779999997547E-3</v>
      </c>
      <c r="P215">
        <f t="shared" si="20"/>
        <v>9.9819338974023995E-4</v>
      </c>
      <c r="Q215">
        <f t="shared" si="22"/>
        <v>7.4678100532420209E-4</v>
      </c>
    </row>
    <row r="216" spans="1:17" x14ac:dyDescent="0.2">
      <c r="A216" s="1">
        <v>41489</v>
      </c>
      <c r="B216" s="2">
        <f t="shared" si="23"/>
        <v>51</v>
      </c>
      <c r="C216">
        <v>5.5146405830000003</v>
      </c>
      <c r="D216">
        <v>5.7</v>
      </c>
      <c r="E216">
        <v>2.1200911549999999</v>
      </c>
      <c r="F216">
        <v>9.0940218480000006</v>
      </c>
      <c r="G216">
        <v>14.346733589999999</v>
      </c>
      <c r="H216">
        <v>0</v>
      </c>
      <c r="I216">
        <f t="shared" si="18"/>
        <v>9.0945494280000005</v>
      </c>
      <c r="J216">
        <f t="shared" si="21"/>
        <v>11.214640583000001</v>
      </c>
      <c r="K216">
        <f t="shared" si="19"/>
        <v>5.2757999999997196E-4</v>
      </c>
      <c r="P216">
        <f t="shared" si="20"/>
        <v>5.8010570416570168E-5</v>
      </c>
      <c r="Q216">
        <f t="shared" si="22"/>
        <v>4.7043861646330203E-5</v>
      </c>
    </row>
    <row r="217" spans="1:17" x14ac:dyDescent="0.2">
      <c r="A217" s="1">
        <v>41490</v>
      </c>
      <c r="B217" s="2">
        <f t="shared" si="23"/>
        <v>52</v>
      </c>
      <c r="C217">
        <v>9.0940218480000006</v>
      </c>
      <c r="D217">
        <v>5.0999999999999996</v>
      </c>
      <c r="E217">
        <v>4.3499899309999996</v>
      </c>
      <c r="F217">
        <v>9.4628625540000009</v>
      </c>
      <c r="G217">
        <v>14.52530922</v>
      </c>
      <c r="H217">
        <v>0</v>
      </c>
      <c r="I217">
        <f t="shared" si="18"/>
        <v>9.8440319170000006</v>
      </c>
      <c r="J217">
        <f t="shared" si="21"/>
        <v>14.194021848</v>
      </c>
      <c r="K217">
        <f t="shared" si="19"/>
        <v>0.38116936299999971</v>
      </c>
      <c r="P217">
        <f t="shared" si="20"/>
        <v>3.8720858101012973E-2</v>
      </c>
      <c r="Q217">
        <f t="shared" si="22"/>
        <v>2.6854218422504975E-2</v>
      </c>
    </row>
    <row r="218" spans="1:17" x14ac:dyDescent="0.2">
      <c r="A218" s="1">
        <v>41491</v>
      </c>
      <c r="B218" s="2">
        <f t="shared" si="23"/>
        <v>53</v>
      </c>
      <c r="C218">
        <v>9.4628625540000009</v>
      </c>
      <c r="D218">
        <v>5.9</v>
      </c>
      <c r="E218">
        <v>4.0640673869999997</v>
      </c>
      <c r="F218">
        <v>11.294960319999999</v>
      </c>
      <c r="G218">
        <v>14.28461416</v>
      </c>
      <c r="H218">
        <v>0</v>
      </c>
      <c r="I218">
        <f t="shared" si="18"/>
        <v>11.298795167000002</v>
      </c>
      <c r="J218">
        <f t="shared" si="21"/>
        <v>15.362862554000001</v>
      </c>
      <c r="K218">
        <f t="shared" si="19"/>
        <v>3.8348470000020285E-3</v>
      </c>
      <c r="P218">
        <f t="shared" si="20"/>
        <v>3.3940317912854398E-4</v>
      </c>
      <c r="Q218">
        <f t="shared" si="22"/>
        <v>2.4961799837254652E-4</v>
      </c>
    </row>
    <row r="219" spans="1:17" x14ac:dyDescent="0.2">
      <c r="A219" s="1">
        <v>41492</v>
      </c>
      <c r="B219" s="2">
        <f t="shared" si="23"/>
        <v>54</v>
      </c>
      <c r="C219">
        <v>11.294960319999999</v>
      </c>
      <c r="D219">
        <v>4.5999999999999996</v>
      </c>
      <c r="E219">
        <v>3.0843967839999999</v>
      </c>
      <c r="F219">
        <v>12.75510388</v>
      </c>
      <c r="G219">
        <v>13.94824382</v>
      </c>
      <c r="H219">
        <v>0</v>
      </c>
      <c r="I219">
        <f t="shared" si="18"/>
        <v>12.810563536</v>
      </c>
      <c r="J219">
        <f t="shared" si="21"/>
        <v>15.894960319999999</v>
      </c>
      <c r="K219">
        <f t="shared" si="19"/>
        <v>5.5459656000000024E-2</v>
      </c>
      <c r="P219">
        <f t="shared" si="20"/>
        <v>4.3292128284714692E-3</v>
      </c>
      <c r="Q219">
        <f t="shared" si="22"/>
        <v>3.4891345988588176E-3</v>
      </c>
    </row>
    <row r="220" spans="1:17" x14ac:dyDescent="0.2">
      <c r="A220" s="1">
        <v>41493</v>
      </c>
      <c r="B220" s="2">
        <f t="shared" si="23"/>
        <v>55</v>
      </c>
      <c r="C220">
        <v>12.75510388</v>
      </c>
      <c r="D220">
        <v>5.0999999999999996</v>
      </c>
      <c r="E220">
        <v>4.1683118700000001</v>
      </c>
      <c r="F220">
        <v>13.686328230000001</v>
      </c>
      <c r="G220">
        <v>14.290271369999999</v>
      </c>
      <c r="H220">
        <v>0</v>
      </c>
      <c r="I220">
        <f t="shared" si="18"/>
        <v>13.686792010000001</v>
      </c>
      <c r="J220">
        <f t="shared" si="21"/>
        <v>17.855103880000001</v>
      </c>
      <c r="K220">
        <f t="shared" si="19"/>
        <v>4.6378000000046882E-4</v>
      </c>
      <c r="P220">
        <f t="shared" si="20"/>
        <v>3.3885223042888106E-5</v>
      </c>
      <c r="Q220">
        <f t="shared" si="22"/>
        <v>2.5974645855741097E-5</v>
      </c>
    </row>
    <row r="221" spans="1:17" x14ac:dyDescent="0.2">
      <c r="A221" s="1">
        <v>41494</v>
      </c>
      <c r="B221" s="2">
        <f t="shared" si="23"/>
        <v>55</v>
      </c>
      <c r="C221">
        <v>13.686328230000001</v>
      </c>
      <c r="D221">
        <v>0</v>
      </c>
      <c r="E221">
        <v>3.231293156</v>
      </c>
      <c r="F221">
        <v>10.449511640000001</v>
      </c>
      <c r="G221">
        <v>14.63050065</v>
      </c>
      <c r="H221">
        <v>0</v>
      </c>
      <c r="I221">
        <f t="shared" si="18"/>
        <v>10.455035074000001</v>
      </c>
      <c r="J221">
        <f t="shared" si="21"/>
        <v>13.686328230000001</v>
      </c>
      <c r="K221">
        <f t="shared" si="19"/>
        <v>5.5234340000005488E-3</v>
      </c>
      <c r="P221">
        <f t="shared" si="20"/>
        <v>5.2830372742951814E-4</v>
      </c>
      <c r="Q221">
        <f t="shared" si="22"/>
        <v>4.03573106473755E-4</v>
      </c>
    </row>
    <row r="222" spans="1:17" x14ac:dyDescent="0.2">
      <c r="A222" s="1">
        <v>41495</v>
      </c>
      <c r="B222" s="2">
        <f t="shared" si="23"/>
        <v>56</v>
      </c>
      <c r="C222">
        <v>10.449511640000001</v>
      </c>
      <c r="D222">
        <v>4.3</v>
      </c>
      <c r="E222">
        <v>2.1161428600000001</v>
      </c>
      <c r="F222">
        <v>12.098419850000001</v>
      </c>
      <c r="G222">
        <v>14.25529219</v>
      </c>
      <c r="H222">
        <v>0</v>
      </c>
      <c r="I222">
        <f t="shared" si="18"/>
        <v>12.633368780000001</v>
      </c>
      <c r="J222">
        <f t="shared" si="21"/>
        <v>14.749511640000001</v>
      </c>
      <c r="K222">
        <f t="shared" si="19"/>
        <v>0.53494893000000054</v>
      </c>
      <c r="P222">
        <f t="shared" si="20"/>
        <v>4.2344123670867817E-2</v>
      </c>
      <c r="Q222">
        <f t="shared" si="22"/>
        <v>3.6268924901163742E-2</v>
      </c>
    </row>
    <row r="223" spans="1:17" x14ac:dyDescent="0.2">
      <c r="A223" s="1">
        <v>41496</v>
      </c>
      <c r="B223" s="2">
        <f t="shared" si="23"/>
        <v>57</v>
      </c>
      <c r="C223">
        <v>12.098419850000001</v>
      </c>
      <c r="D223">
        <v>4.0999999999999996</v>
      </c>
      <c r="E223">
        <v>3.230046261</v>
      </c>
      <c r="F223">
        <v>12.80654457</v>
      </c>
      <c r="G223">
        <v>14.13577085</v>
      </c>
      <c r="H223">
        <v>0</v>
      </c>
      <c r="I223">
        <f t="shared" si="18"/>
        <v>12.968373589</v>
      </c>
      <c r="J223">
        <f t="shared" si="21"/>
        <v>16.198419850000001</v>
      </c>
      <c r="K223">
        <f t="shared" si="19"/>
        <v>0.16182901900000068</v>
      </c>
      <c r="P223">
        <f t="shared" si="20"/>
        <v>1.2478744376801951E-2</v>
      </c>
      <c r="Q223">
        <f t="shared" si="22"/>
        <v>9.9904200840923805E-3</v>
      </c>
    </row>
    <row r="224" spans="1:17" x14ac:dyDescent="0.2">
      <c r="A224" s="1">
        <v>41497</v>
      </c>
      <c r="B224" s="2">
        <f t="shared" si="23"/>
        <v>58</v>
      </c>
      <c r="C224">
        <v>12.80654457</v>
      </c>
      <c r="D224">
        <v>4.3</v>
      </c>
      <c r="E224">
        <v>3.8824208320000002</v>
      </c>
      <c r="F224">
        <v>12.921752529999999</v>
      </c>
      <c r="G224">
        <v>14.462404149999999</v>
      </c>
      <c r="H224">
        <v>0</v>
      </c>
      <c r="I224">
        <f t="shared" si="18"/>
        <v>13.224123737999999</v>
      </c>
      <c r="J224">
        <f t="shared" si="21"/>
        <v>17.106544570000001</v>
      </c>
      <c r="K224">
        <f t="shared" si="19"/>
        <v>0.30237120800000028</v>
      </c>
      <c r="P224">
        <f t="shared" si="20"/>
        <v>2.2865122407401985E-2</v>
      </c>
      <c r="Q224">
        <f t="shared" si="22"/>
        <v>1.7675761856095304E-2</v>
      </c>
    </row>
    <row r="225" spans="1:17" x14ac:dyDescent="0.2">
      <c r="A225" s="1">
        <v>41498</v>
      </c>
      <c r="B225" s="2">
        <f t="shared" si="23"/>
        <v>58</v>
      </c>
      <c r="C225">
        <v>12.921752529999999</v>
      </c>
      <c r="D225">
        <v>0</v>
      </c>
      <c r="E225">
        <v>1.711965145</v>
      </c>
      <c r="F225">
        <v>11.20977823</v>
      </c>
      <c r="G225">
        <v>14.248107190000001</v>
      </c>
      <c r="H225">
        <v>0</v>
      </c>
      <c r="I225">
        <f t="shared" si="18"/>
        <v>11.209787384999998</v>
      </c>
      <c r="J225">
        <f t="shared" si="21"/>
        <v>12.921752529999999</v>
      </c>
      <c r="K225">
        <f t="shared" si="19"/>
        <v>9.1549999989837261E-6</v>
      </c>
      <c r="P225">
        <f t="shared" si="20"/>
        <v>8.1669702417676387E-7</v>
      </c>
      <c r="Q225">
        <f t="shared" si="22"/>
        <v>7.0849522754199713E-7</v>
      </c>
    </row>
    <row r="226" spans="1:17" x14ac:dyDescent="0.2">
      <c r="A226" s="1">
        <v>41499</v>
      </c>
      <c r="B226" s="2">
        <f t="shared" si="23"/>
        <v>58</v>
      </c>
      <c r="C226">
        <v>11.20977823</v>
      </c>
      <c r="D226">
        <v>0</v>
      </c>
      <c r="E226">
        <v>2.7888196860000001</v>
      </c>
      <c r="F226">
        <v>8.3282779750000007</v>
      </c>
      <c r="G226">
        <v>14.7216688</v>
      </c>
      <c r="H226">
        <v>0</v>
      </c>
      <c r="I226">
        <f t="shared" si="18"/>
        <v>8.4209585439999994</v>
      </c>
      <c r="J226">
        <f t="shared" si="21"/>
        <v>11.20977823</v>
      </c>
      <c r="K226">
        <f t="shared" si="19"/>
        <v>9.2680568999998769E-2</v>
      </c>
      <c r="P226">
        <f t="shared" si="20"/>
        <v>1.1005940537022882E-2</v>
      </c>
      <c r="Q226">
        <f t="shared" si="22"/>
        <v>8.267832520715156E-3</v>
      </c>
    </row>
    <row r="227" spans="1:17" x14ac:dyDescent="0.2">
      <c r="A227" s="1">
        <v>41500</v>
      </c>
      <c r="B227" s="2">
        <f t="shared" si="23"/>
        <v>59</v>
      </c>
      <c r="C227">
        <v>8.3282779750000007</v>
      </c>
      <c r="D227">
        <v>10.3</v>
      </c>
      <c r="E227">
        <v>7.0264457990000002</v>
      </c>
      <c r="F227">
        <v>11.559916449999999</v>
      </c>
      <c r="G227">
        <v>10.05641801</v>
      </c>
      <c r="H227">
        <v>0</v>
      </c>
      <c r="I227">
        <f t="shared" si="18"/>
        <v>11.601832176000002</v>
      </c>
      <c r="J227">
        <f t="shared" si="21"/>
        <v>18.628277975000003</v>
      </c>
      <c r="K227">
        <f t="shared" si="19"/>
        <v>4.1915726000002707E-2</v>
      </c>
      <c r="P227">
        <f t="shared" si="20"/>
        <v>3.6128540185843402E-3</v>
      </c>
      <c r="Q227">
        <f t="shared" si="22"/>
        <v>2.2501127616978618E-3</v>
      </c>
    </row>
    <row r="228" spans="1:17" x14ac:dyDescent="0.2">
      <c r="A228" s="1">
        <v>41501</v>
      </c>
      <c r="B228" s="2">
        <f t="shared" si="23"/>
        <v>60</v>
      </c>
      <c r="C228">
        <v>11.559916449999999</v>
      </c>
      <c r="D228">
        <v>5.2</v>
      </c>
      <c r="E228">
        <v>3.9694903429999999</v>
      </c>
      <c r="F228">
        <v>12.70008784</v>
      </c>
      <c r="G228">
        <v>11.44160757</v>
      </c>
      <c r="H228">
        <v>0</v>
      </c>
      <c r="I228">
        <f t="shared" si="18"/>
        <v>12.790426106999998</v>
      </c>
      <c r="J228">
        <f t="shared" si="21"/>
        <v>16.759916449999999</v>
      </c>
      <c r="K228">
        <f t="shared" si="19"/>
        <v>9.033826699999814E-2</v>
      </c>
      <c r="P228">
        <f t="shared" si="20"/>
        <v>7.0629599236383088E-3</v>
      </c>
      <c r="Q228">
        <f t="shared" si="22"/>
        <v>5.3901382664707821E-3</v>
      </c>
    </row>
    <row r="229" spans="1:17" x14ac:dyDescent="0.2">
      <c r="A229" s="1">
        <v>41502</v>
      </c>
      <c r="B229" s="2">
        <f t="shared" si="23"/>
        <v>61</v>
      </c>
      <c r="C229">
        <v>12.70008784</v>
      </c>
      <c r="D229">
        <v>5.3</v>
      </c>
      <c r="E229">
        <v>5.6662147709999999</v>
      </c>
      <c r="F229">
        <v>11.7946069</v>
      </c>
      <c r="G229">
        <v>10.347025759999999</v>
      </c>
      <c r="H229">
        <v>0</v>
      </c>
      <c r="I229">
        <f t="shared" si="18"/>
        <v>12.333873068999999</v>
      </c>
      <c r="J229">
        <f t="shared" si="21"/>
        <v>18.000087839999999</v>
      </c>
      <c r="K229">
        <f t="shared" si="19"/>
        <v>0.53926616899999935</v>
      </c>
      <c r="P229">
        <f t="shared" si="20"/>
        <v>4.3722370579229723E-2</v>
      </c>
      <c r="Q229">
        <f t="shared" si="22"/>
        <v>2.9959085410774272E-2</v>
      </c>
    </row>
    <row r="230" spans="1:17" x14ac:dyDescent="0.2">
      <c r="A230" s="1">
        <v>41503</v>
      </c>
      <c r="B230" s="2">
        <f t="shared" si="23"/>
        <v>62</v>
      </c>
      <c r="C230">
        <v>11.7946069</v>
      </c>
      <c r="D230">
        <v>4.7</v>
      </c>
      <c r="E230">
        <v>5.4337507110000001</v>
      </c>
      <c r="F230">
        <v>11.0600211</v>
      </c>
      <c r="G230">
        <v>10.12945803</v>
      </c>
      <c r="H230">
        <v>0</v>
      </c>
      <c r="I230">
        <f t="shared" si="18"/>
        <v>11.060856189000001</v>
      </c>
      <c r="J230">
        <f t="shared" si="21"/>
        <v>16.494606900000001</v>
      </c>
      <c r="K230">
        <f t="shared" si="19"/>
        <v>8.350890000006217E-4</v>
      </c>
      <c r="P230">
        <f t="shared" si="20"/>
        <v>7.549948988859615E-5</v>
      </c>
      <c r="Q230">
        <f t="shared" si="22"/>
        <v>5.0628002538249135E-5</v>
      </c>
    </row>
    <row r="231" spans="1:17" x14ac:dyDescent="0.2">
      <c r="A231" s="1">
        <v>41504</v>
      </c>
      <c r="B231" s="2">
        <f t="shared" si="23"/>
        <v>63</v>
      </c>
      <c r="C231">
        <v>11.0600211</v>
      </c>
      <c r="D231">
        <v>5.5</v>
      </c>
      <c r="E231">
        <v>5.8333358769999997</v>
      </c>
      <c r="F231">
        <v>10.64127092</v>
      </c>
      <c r="G231">
        <v>10.47750285</v>
      </c>
      <c r="H231">
        <v>0</v>
      </c>
      <c r="I231">
        <f t="shared" si="18"/>
        <v>10.726685223</v>
      </c>
      <c r="J231">
        <f t="shared" si="21"/>
        <v>16.5600211</v>
      </c>
      <c r="K231">
        <f t="shared" si="19"/>
        <v>8.5414303000000302E-2</v>
      </c>
      <c r="P231">
        <f t="shared" si="20"/>
        <v>7.9627863803494684E-3</v>
      </c>
      <c r="Q231">
        <f t="shared" si="22"/>
        <v>5.1578619667338645E-3</v>
      </c>
    </row>
    <row r="232" spans="1:17" x14ac:dyDescent="0.2">
      <c r="A232" s="1">
        <v>41505</v>
      </c>
      <c r="B232" s="2">
        <f t="shared" si="23"/>
        <v>64</v>
      </c>
      <c r="C232">
        <v>10.64127092</v>
      </c>
      <c r="D232">
        <v>5.0999999999999996</v>
      </c>
      <c r="E232">
        <v>4.4379234209999998</v>
      </c>
      <c r="F232">
        <v>11.02504444</v>
      </c>
      <c r="G232">
        <v>11.66083654</v>
      </c>
      <c r="H232">
        <v>0</v>
      </c>
      <c r="I232">
        <f t="shared" si="18"/>
        <v>11.303347499000001</v>
      </c>
      <c r="J232">
        <f t="shared" si="21"/>
        <v>15.74127092</v>
      </c>
      <c r="K232">
        <f t="shared" si="19"/>
        <v>0.27830305900000063</v>
      </c>
      <c r="P232">
        <f t="shared" si="20"/>
        <v>2.4621295507779611E-2</v>
      </c>
      <c r="Q232">
        <f t="shared" si="22"/>
        <v>1.7679834138830806E-2</v>
      </c>
    </row>
    <row r="233" spans="1:17" x14ac:dyDescent="0.2">
      <c r="A233" s="1">
        <v>41506</v>
      </c>
      <c r="B233" s="2">
        <f t="shared" si="23"/>
        <v>65</v>
      </c>
      <c r="C233">
        <v>11.02504444</v>
      </c>
      <c r="D233">
        <v>5.4</v>
      </c>
      <c r="E233">
        <v>3.524696026</v>
      </c>
      <c r="F233">
        <v>11.740356179999999</v>
      </c>
      <c r="G233">
        <v>10.82201283</v>
      </c>
      <c r="H233">
        <v>0</v>
      </c>
      <c r="I233">
        <f t="shared" si="18"/>
        <v>12.900348414</v>
      </c>
      <c r="J233">
        <f t="shared" si="21"/>
        <v>16.425044440000001</v>
      </c>
      <c r="K233">
        <f t="shared" si="19"/>
        <v>1.1599922340000006</v>
      </c>
      <c r="P233">
        <f t="shared" si="20"/>
        <v>8.9919449984864619E-2</v>
      </c>
      <c r="Q233">
        <f t="shared" si="22"/>
        <v>7.0623384809545178E-2</v>
      </c>
    </row>
    <row r="234" spans="1:17" x14ac:dyDescent="0.2">
      <c r="A234" s="1">
        <v>41507</v>
      </c>
      <c r="B234" s="2">
        <f t="shared" si="23"/>
        <v>66</v>
      </c>
      <c r="C234">
        <v>11.740356179999999</v>
      </c>
      <c r="D234">
        <v>5.4</v>
      </c>
      <c r="E234">
        <v>4.9463456409999997</v>
      </c>
      <c r="F234">
        <v>12.11225196</v>
      </c>
      <c r="G234">
        <v>10.22498944</v>
      </c>
      <c r="H234">
        <v>0</v>
      </c>
      <c r="I234">
        <f t="shared" si="18"/>
        <v>12.194010538999997</v>
      </c>
      <c r="J234">
        <f t="shared" si="21"/>
        <v>17.140356179999998</v>
      </c>
      <c r="K234">
        <f t="shared" si="19"/>
        <v>8.1758578999997056E-2</v>
      </c>
      <c r="P234">
        <f t="shared" si="20"/>
        <v>6.7048145266489076E-3</v>
      </c>
      <c r="Q234">
        <f t="shared" si="22"/>
        <v>4.769946326751132E-3</v>
      </c>
    </row>
    <row r="235" spans="1:17" x14ac:dyDescent="0.2">
      <c r="A235" s="1">
        <v>41508</v>
      </c>
      <c r="B235" s="2">
        <f t="shared" si="23"/>
        <v>67</v>
      </c>
      <c r="C235">
        <v>12.11225196</v>
      </c>
      <c r="D235">
        <v>4.7</v>
      </c>
      <c r="E235">
        <v>3.8384898710000002</v>
      </c>
      <c r="F235">
        <v>12.942391239999999</v>
      </c>
      <c r="G235">
        <v>9.9637263380000007</v>
      </c>
      <c r="H235">
        <v>0</v>
      </c>
      <c r="I235">
        <f t="shared" si="18"/>
        <v>12.973762089000001</v>
      </c>
      <c r="J235">
        <f t="shared" si="21"/>
        <v>16.812251960000001</v>
      </c>
      <c r="K235">
        <f t="shared" si="19"/>
        <v>3.1370849000001755E-2</v>
      </c>
      <c r="P235">
        <f t="shared" si="20"/>
        <v>2.4180225276830072E-3</v>
      </c>
      <c r="Q235">
        <f t="shared" si="22"/>
        <v>1.8659516330495056E-3</v>
      </c>
    </row>
    <row r="236" spans="1:17" x14ac:dyDescent="0.2">
      <c r="A236" s="1">
        <v>41509</v>
      </c>
      <c r="B236" s="2">
        <f t="shared" si="23"/>
        <v>68</v>
      </c>
      <c r="C236">
        <v>12.942391239999999</v>
      </c>
      <c r="D236">
        <v>5.9</v>
      </c>
      <c r="E236">
        <v>4.7815718619999998</v>
      </c>
      <c r="F236">
        <v>13.790427230000001</v>
      </c>
      <c r="G236">
        <v>10.57585907</v>
      </c>
      <c r="H236">
        <v>0</v>
      </c>
      <c r="I236">
        <f t="shared" si="18"/>
        <v>14.060819377999998</v>
      </c>
      <c r="J236">
        <f t="shared" si="21"/>
        <v>18.842391239999998</v>
      </c>
      <c r="K236">
        <f t="shared" si="19"/>
        <v>0.27039214799999733</v>
      </c>
      <c r="P236">
        <f t="shared" si="20"/>
        <v>1.9230184296589532E-2</v>
      </c>
      <c r="Q236">
        <f t="shared" si="22"/>
        <v>1.4350203461755386E-2</v>
      </c>
    </row>
    <row r="237" spans="1:17" x14ac:dyDescent="0.2">
      <c r="A237" s="1">
        <v>41510</v>
      </c>
      <c r="B237" s="2">
        <f t="shared" si="23"/>
        <v>69</v>
      </c>
      <c r="C237">
        <v>13.790427230000001</v>
      </c>
      <c r="D237">
        <v>5.2</v>
      </c>
      <c r="E237">
        <v>5.0664228529999997</v>
      </c>
      <c r="F237">
        <v>12.635224040000001</v>
      </c>
      <c r="G237">
        <v>10.60684698</v>
      </c>
      <c r="H237">
        <v>0</v>
      </c>
      <c r="I237">
        <f t="shared" si="18"/>
        <v>13.924004377000003</v>
      </c>
      <c r="J237">
        <f t="shared" si="21"/>
        <v>18.990427230000002</v>
      </c>
      <c r="K237">
        <f t="shared" si="19"/>
        <v>1.2887803370000022</v>
      </c>
      <c r="P237">
        <f t="shared" si="20"/>
        <v>9.2558168046028469E-2</v>
      </c>
      <c r="Q237">
        <f t="shared" si="22"/>
        <v>6.7864736342743245E-2</v>
      </c>
    </row>
    <row r="238" spans="1:17" x14ac:dyDescent="0.2">
      <c r="A238" s="1">
        <v>41511</v>
      </c>
      <c r="B238" s="2">
        <f t="shared" si="23"/>
        <v>70</v>
      </c>
      <c r="C238">
        <v>12.635224040000001</v>
      </c>
      <c r="D238">
        <v>4.5999999999999996</v>
      </c>
      <c r="E238">
        <v>4.2870828760000004</v>
      </c>
      <c r="F238">
        <v>12.93495699</v>
      </c>
      <c r="G238">
        <v>10.48396917</v>
      </c>
      <c r="H238">
        <v>0</v>
      </c>
      <c r="I238">
        <f t="shared" si="18"/>
        <v>12.948141163999999</v>
      </c>
      <c r="J238">
        <f t="shared" si="21"/>
        <v>17.235224039999999</v>
      </c>
      <c r="K238">
        <f t="shared" si="19"/>
        <v>1.318417399999916E-2</v>
      </c>
      <c r="P238">
        <f t="shared" si="20"/>
        <v>1.0182290904161139E-3</v>
      </c>
      <c r="Q238">
        <f t="shared" si="22"/>
        <v>7.6495518534606532E-4</v>
      </c>
    </row>
    <row r="239" spans="1:17" x14ac:dyDescent="0.2">
      <c r="A239" s="1">
        <v>41512</v>
      </c>
      <c r="B239" s="2">
        <f t="shared" si="23"/>
        <v>71</v>
      </c>
      <c r="C239">
        <v>12.93495699</v>
      </c>
      <c r="D239">
        <v>5</v>
      </c>
      <c r="E239">
        <v>4.5256851820000001</v>
      </c>
      <c r="F239">
        <v>13.405303050000001</v>
      </c>
      <c r="G239">
        <v>10.628956479999999</v>
      </c>
      <c r="H239">
        <v>0</v>
      </c>
      <c r="I239">
        <f t="shared" si="18"/>
        <v>13.409271808</v>
      </c>
      <c r="J239">
        <f t="shared" si="21"/>
        <v>17.93495699</v>
      </c>
      <c r="K239">
        <f t="shared" si="19"/>
        <v>3.968757999999184E-3</v>
      </c>
      <c r="P239">
        <f t="shared" si="20"/>
        <v>2.9597118000333284E-4</v>
      </c>
      <c r="Q239">
        <f t="shared" si="22"/>
        <v>2.2128617326554203E-4</v>
      </c>
    </row>
    <row r="240" spans="1:17" x14ac:dyDescent="0.2">
      <c r="A240" s="1">
        <v>41513</v>
      </c>
      <c r="B240" s="2">
        <f t="shared" si="23"/>
        <v>71</v>
      </c>
      <c r="C240">
        <v>13.405303050000001</v>
      </c>
      <c r="D240">
        <v>0</v>
      </c>
      <c r="E240">
        <v>2.9062268759999998</v>
      </c>
      <c r="F240">
        <v>10.49144426</v>
      </c>
      <c r="G240">
        <v>10.969576999999999</v>
      </c>
      <c r="H240">
        <v>0</v>
      </c>
      <c r="I240">
        <f t="shared" si="18"/>
        <v>10.499076174000001</v>
      </c>
      <c r="J240">
        <f t="shared" si="21"/>
        <v>13.405303050000001</v>
      </c>
      <c r="K240">
        <f t="shared" si="19"/>
        <v>7.6319140000009611E-3</v>
      </c>
      <c r="P240">
        <f t="shared" si="20"/>
        <v>7.2691290867102159E-4</v>
      </c>
      <c r="Q240">
        <f t="shared" si="22"/>
        <v>5.6932051230285021E-4</v>
      </c>
    </row>
    <row r="241" spans="1:17" x14ac:dyDescent="0.2">
      <c r="A241" s="1">
        <v>41514</v>
      </c>
      <c r="B241" s="2">
        <f t="shared" si="23"/>
        <v>71</v>
      </c>
      <c r="C241">
        <v>10.49144426</v>
      </c>
      <c r="D241">
        <v>0</v>
      </c>
      <c r="E241">
        <v>2.825614785</v>
      </c>
      <c r="F241">
        <v>7.419200676</v>
      </c>
      <c r="G241">
        <v>14.14499818</v>
      </c>
      <c r="H241">
        <v>0</v>
      </c>
      <c r="I241">
        <f t="shared" si="18"/>
        <v>7.6658294749999998</v>
      </c>
      <c r="J241">
        <f t="shared" si="21"/>
        <v>10.49144426</v>
      </c>
      <c r="K241">
        <f t="shared" si="19"/>
        <v>0.24662879899999979</v>
      </c>
      <c r="P241">
        <f t="shared" si="20"/>
        <v>3.217248698321714E-2</v>
      </c>
      <c r="Q241">
        <f t="shared" si="22"/>
        <v>2.3507611810921425E-2</v>
      </c>
    </row>
    <row r="242" spans="1:17" x14ac:dyDescent="0.2">
      <c r="A242" s="1">
        <v>41515</v>
      </c>
      <c r="B242" s="2">
        <f t="shared" si="23"/>
        <v>72</v>
      </c>
      <c r="C242">
        <v>7.419200676</v>
      </c>
      <c r="D242">
        <v>4.3</v>
      </c>
      <c r="E242">
        <v>3.0405650980000001</v>
      </c>
      <c r="F242">
        <v>8.6753524009999996</v>
      </c>
      <c r="G242">
        <v>14.41607756</v>
      </c>
      <c r="H242">
        <v>0</v>
      </c>
      <c r="I242">
        <f t="shared" si="18"/>
        <v>8.6786355779999997</v>
      </c>
      <c r="J242">
        <f t="shared" si="21"/>
        <v>11.719200676</v>
      </c>
      <c r="K242">
        <f t="shared" si="19"/>
        <v>3.283177000000137E-3</v>
      </c>
      <c r="P242">
        <f t="shared" si="20"/>
        <v>3.7830566458198358E-4</v>
      </c>
      <c r="Q242">
        <f t="shared" si="22"/>
        <v>2.8015366327191791E-4</v>
      </c>
    </row>
    <row r="243" spans="1:17" x14ac:dyDescent="0.2">
      <c r="A243" s="1">
        <v>41516</v>
      </c>
      <c r="B243" s="2">
        <f t="shared" si="23"/>
        <v>72</v>
      </c>
      <c r="C243">
        <v>8.6753524009999996</v>
      </c>
      <c r="D243">
        <v>0</v>
      </c>
      <c r="E243">
        <v>2.0203931339999999</v>
      </c>
      <c r="F243">
        <v>6.654275545</v>
      </c>
      <c r="G243">
        <v>13.914702950000001</v>
      </c>
      <c r="H243">
        <v>0</v>
      </c>
      <c r="I243">
        <f t="shared" si="18"/>
        <v>6.6549592669999997</v>
      </c>
      <c r="J243">
        <f t="shared" si="21"/>
        <v>8.6753524009999996</v>
      </c>
      <c r="K243">
        <f t="shared" si="19"/>
        <v>6.8372199999977568E-4</v>
      </c>
      <c r="P243">
        <f t="shared" si="20"/>
        <v>1.0273872048926783E-4</v>
      </c>
      <c r="Q243">
        <f t="shared" si="22"/>
        <v>7.8812014589858473E-5</v>
      </c>
    </row>
    <row r="244" spans="1:17" x14ac:dyDescent="0.2">
      <c r="A244" s="1">
        <v>41517</v>
      </c>
      <c r="B244" s="2">
        <f t="shared" si="23"/>
        <v>73</v>
      </c>
      <c r="C244">
        <v>6.654275545</v>
      </c>
      <c r="D244">
        <v>6.8</v>
      </c>
      <c r="E244">
        <v>3.3473681499999999</v>
      </c>
      <c r="F244">
        <v>10.04360425</v>
      </c>
      <c r="G244">
        <v>14.13322539</v>
      </c>
      <c r="H244">
        <v>0</v>
      </c>
      <c r="I244">
        <f t="shared" si="18"/>
        <v>10.106907395</v>
      </c>
      <c r="J244">
        <f t="shared" si="21"/>
        <v>13.454275545</v>
      </c>
      <c r="K244">
        <f t="shared" si="19"/>
        <v>6.3303145000000782E-2</v>
      </c>
      <c r="P244">
        <f t="shared" si="20"/>
        <v>6.2633546074952222E-3</v>
      </c>
      <c r="Q244">
        <f t="shared" si="22"/>
        <v>4.7050578671644699E-3</v>
      </c>
    </row>
    <row r="245" spans="1:17" x14ac:dyDescent="0.2">
      <c r="A245" s="1">
        <v>41518</v>
      </c>
      <c r="B245" s="2">
        <f t="shared" si="23"/>
        <v>73</v>
      </c>
      <c r="C245">
        <v>10.04360425</v>
      </c>
      <c r="D245">
        <v>0</v>
      </c>
      <c r="E245">
        <v>3.518757586</v>
      </c>
      <c r="F245">
        <v>6.4046523579999999</v>
      </c>
      <c r="G245">
        <v>14.15606421</v>
      </c>
      <c r="H245">
        <v>0</v>
      </c>
      <c r="I245">
        <f t="shared" si="18"/>
        <v>6.524846664</v>
      </c>
      <c r="J245">
        <f t="shared" si="21"/>
        <v>10.04360425</v>
      </c>
      <c r="K245">
        <f t="shared" si="19"/>
        <v>0.12019430600000014</v>
      </c>
      <c r="P245">
        <f t="shared" si="20"/>
        <v>1.8421016184664803E-2</v>
      </c>
      <c r="Q245">
        <f t="shared" si="22"/>
        <v>1.1967248311282291E-2</v>
      </c>
    </row>
    <row r="246" spans="1:17" x14ac:dyDescent="0.2">
      <c r="A246" s="1">
        <v>41519</v>
      </c>
      <c r="B246" s="2">
        <f t="shared" si="23"/>
        <v>73</v>
      </c>
      <c r="C246">
        <v>6.4046523579999999</v>
      </c>
      <c r="D246">
        <v>0</v>
      </c>
      <c r="E246">
        <v>3.093357159</v>
      </c>
      <c r="F246">
        <v>3.311103449</v>
      </c>
      <c r="G246">
        <v>14.245561589999999</v>
      </c>
      <c r="H246">
        <v>0</v>
      </c>
      <c r="I246">
        <f t="shared" si="18"/>
        <v>3.3112951989999999</v>
      </c>
      <c r="J246">
        <f t="shared" si="21"/>
        <v>6.4046523579999999</v>
      </c>
      <c r="K246">
        <f t="shared" si="19"/>
        <v>1.9174999999993503E-4</v>
      </c>
      <c r="P246">
        <f t="shared" si="20"/>
        <v>5.7907854321729726E-5</v>
      </c>
      <c r="Q246">
        <f t="shared" si="22"/>
        <v>2.9939173788319929E-5</v>
      </c>
    </row>
    <row r="247" spans="1:17" x14ac:dyDescent="0.2">
      <c r="A247" s="1">
        <v>41520</v>
      </c>
      <c r="B247" s="2">
        <f t="shared" si="23"/>
        <v>74</v>
      </c>
      <c r="C247">
        <v>3.311103449</v>
      </c>
      <c r="D247">
        <v>9.3000000000000007</v>
      </c>
      <c r="E247">
        <v>5.4953428579999999</v>
      </c>
      <c r="F247">
        <v>7.1064307910000002</v>
      </c>
      <c r="G247">
        <v>12.80655513</v>
      </c>
      <c r="H247">
        <v>0</v>
      </c>
      <c r="I247">
        <f t="shared" si="18"/>
        <v>7.1157605910000017</v>
      </c>
      <c r="J247">
        <f t="shared" si="21"/>
        <v>12.611103449000002</v>
      </c>
      <c r="K247">
        <f t="shared" si="19"/>
        <v>9.329800000001498E-3</v>
      </c>
      <c r="P247">
        <f t="shared" si="20"/>
        <v>1.3111458544293646E-3</v>
      </c>
      <c r="Q247">
        <f t="shared" si="22"/>
        <v>7.3980837899964298E-4</v>
      </c>
    </row>
    <row r="248" spans="1:17" x14ac:dyDescent="0.2">
      <c r="A248" s="1">
        <v>41521</v>
      </c>
      <c r="B248" s="2">
        <f t="shared" si="23"/>
        <v>74</v>
      </c>
      <c r="C248">
        <v>7.1064307910000002</v>
      </c>
      <c r="D248">
        <v>0</v>
      </c>
      <c r="E248">
        <v>2.0204349019999999</v>
      </c>
      <c r="F248">
        <v>5.0726411909999998</v>
      </c>
      <c r="G248">
        <v>14.14909261</v>
      </c>
      <c r="H248">
        <v>0</v>
      </c>
      <c r="I248">
        <f t="shared" si="18"/>
        <v>5.0859958890000003</v>
      </c>
      <c r="J248">
        <f t="shared" si="21"/>
        <v>7.1064307910000002</v>
      </c>
      <c r="K248">
        <f t="shared" si="19"/>
        <v>1.3354698000000553E-2</v>
      </c>
      <c r="P248">
        <f t="shared" si="20"/>
        <v>2.625778370935005E-3</v>
      </c>
      <c r="Q248">
        <f t="shared" si="22"/>
        <v>1.8792412665038158E-3</v>
      </c>
    </row>
    <row r="249" spans="1:17" x14ac:dyDescent="0.2">
      <c r="A249" s="1">
        <v>41522</v>
      </c>
      <c r="B249" s="2">
        <f t="shared" si="23"/>
        <v>75</v>
      </c>
      <c r="C249">
        <v>5.0726411909999998</v>
      </c>
      <c r="D249">
        <v>5.9</v>
      </c>
      <c r="E249">
        <v>0.48327578199999999</v>
      </c>
      <c r="F249">
        <v>10.48786954</v>
      </c>
      <c r="G249">
        <v>13.96905542</v>
      </c>
      <c r="H249">
        <v>0</v>
      </c>
      <c r="I249">
        <f t="shared" si="18"/>
        <v>10.489365409000001</v>
      </c>
      <c r="J249">
        <f t="shared" si="21"/>
        <v>10.972641191000001</v>
      </c>
      <c r="K249">
        <f t="shared" si="19"/>
        <v>1.4958690000010932E-3</v>
      </c>
      <c r="P249">
        <f t="shared" si="20"/>
        <v>1.4260815041466853E-4</v>
      </c>
      <c r="Q249">
        <f t="shared" si="22"/>
        <v>1.3632715897317753E-4</v>
      </c>
    </row>
    <row r="250" spans="1:17" x14ac:dyDescent="0.2">
      <c r="A250" s="1">
        <v>41523</v>
      </c>
      <c r="B250" s="2">
        <f t="shared" si="23"/>
        <v>75</v>
      </c>
      <c r="C250">
        <v>10.48786954</v>
      </c>
      <c r="D250">
        <v>0</v>
      </c>
      <c r="E250">
        <v>1.6612175929999999</v>
      </c>
      <c r="F250">
        <v>8.8255197299999999</v>
      </c>
      <c r="G250">
        <v>13.938049919999999</v>
      </c>
      <c r="H250">
        <v>0</v>
      </c>
      <c r="I250">
        <f t="shared" si="18"/>
        <v>8.8266519470000002</v>
      </c>
      <c r="J250">
        <f t="shared" si="21"/>
        <v>10.48786954</v>
      </c>
      <c r="K250">
        <f t="shared" si="19"/>
        <v>1.132217000000324E-3</v>
      </c>
      <c r="P250">
        <f t="shared" si="20"/>
        <v>1.2827253264304157E-4</v>
      </c>
      <c r="Q250">
        <f t="shared" si="22"/>
        <v>1.079549088289216E-4</v>
      </c>
    </row>
    <row r="251" spans="1:17" x14ac:dyDescent="0.2">
      <c r="A251" s="1">
        <v>41524</v>
      </c>
      <c r="B251" s="2">
        <f t="shared" si="23"/>
        <v>76</v>
      </c>
      <c r="C251">
        <v>8.8255197299999999</v>
      </c>
      <c r="D251">
        <v>4.7</v>
      </c>
      <c r="E251">
        <v>2.0624568980000002</v>
      </c>
      <c r="F251">
        <v>11.061812209999999</v>
      </c>
      <c r="G251">
        <v>12.62740597</v>
      </c>
      <c r="H251">
        <v>0</v>
      </c>
      <c r="I251">
        <f t="shared" si="18"/>
        <v>11.463062831999999</v>
      </c>
      <c r="J251">
        <f t="shared" si="21"/>
        <v>13.525519729999999</v>
      </c>
      <c r="K251">
        <f t="shared" si="19"/>
        <v>0.40125062199999917</v>
      </c>
      <c r="P251">
        <f t="shared" si="20"/>
        <v>3.500378806961417E-2</v>
      </c>
      <c r="Q251">
        <f t="shared" si="22"/>
        <v>2.9666188805300659E-2</v>
      </c>
    </row>
    <row r="252" spans="1:17" x14ac:dyDescent="0.2">
      <c r="A252" s="1">
        <v>41525</v>
      </c>
      <c r="B252" s="2">
        <f t="shared" si="23"/>
        <v>76</v>
      </c>
      <c r="C252">
        <v>11.061812209999999</v>
      </c>
      <c r="D252">
        <v>0</v>
      </c>
      <c r="E252">
        <v>1.316338298</v>
      </c>
      <c r="F252">
        <v>9.4136386139999999</v>
      </c>
      <c r="G252">
        <v>15.06543602</v>
      </c>
      <c r="H252">
        <v>0</v>
      </c>
      <c r="I252">
        <f t="shared" si="18"/>
        <v>9.7454739119999996</v>
      </c>
      <c r="J252">
        <f t="shared" si="21"/>
        <v>11.061812209999999</v>
      </c>
      <c r="K252">
        <f t="shared" si="19"/>
        <v>0.33183529799999967</v>
      </c>
      <c r="P252">
        <f t="shared" si="20"/>
        <v>3.4050196121442319E-2</v>
      </c>
      <c r="Q252">
        <f t="shared" si="22"/>
        <v>2.9998276204690668E-2</v>
      </c>
    </row>
    <row r="253" spans="1:17" x14ac:dyDescent="0.2">
      <c r="A253" s="1">
        <v>41526</v>
      </c>
      <c r="B253" s="2">
        <f t="shared" si="23"/>
        <v>77</v>
      </c>
      <c r="C253">
        <v>9.4136386139999999</v>
      </c>
      <c r="D253">
        <v>4.9000000000000004</v>
      </c>
      <c r="E253">
        <v>2.9448725389999999</v>
      </c>
      <c r="F253">
        <v>11.183728070000001</v>
      </c>
      <c r="G253">
        <v>12.883767819999999</v>
      </c>
      <c r="H253">
        <v>0</v>
      </c>
      <c r="I253">
        <f t="shared" si="18"/>
        <v>11.368766075</v>
      </c>
      <c r="J253">
        <f t="shared" si="21"/>
        <v>14.313638614</v>
      </c>
      <c r="K253">
        <f t="shared" si="19"/>
        <v>0.18503800499999912</v>
      </c>
      <c r="P253">
        <f t="shared" si="20"/>
        <v>1.6275997217226508E-2</v>
      </c>
      <c r="Q253">
        <f t="shared" si="22"/>
        <v>1.2927391140014925E-2</v>
      </c>
    </row>
    <row r="254" spans="1:17" x14ac:dyDescent="0.2">
      <c r="A254" s="1">
        <v>41527</v>
      </c>
      <c r="B254" s="2">
        <f t="shared" si="23"/>
        <v>77</v>
      </c>
      <c r="C254">
        <v>11.183728070000001</v>
      </c>
      <c r="D254">
        <v>0</v>
      </c>
      <c r="E254">
        <v>3.6144770679999998</v>
      </c>
      <c r="F254">
        <v>7.2032309359999998</v>
      </c>
      <c r="G254">
        <v>12.327501270000001</v>
      </c>
      <c r="H254">
        <v>0</v>
      </c>
      <c r="I254">
        <f t="shared" si="18"/>
        <v>7.5692510020000014</v>
      </c>
      <c r="J254">
        <f t="shared" si="21"/>
        <v>11.183728070000001</v>
      </c>
      <c r="K254">
        <f t="shared" si="19"/>
        <v>0.3660200660000017</v>
      </c>
      <c r="P254">
        <f t="shared" si="20"/>
        <v>4.8356180275074677E-2</v>
      </c>
      <c r="Q254">
        <f t="shared" si="22"/>
        <v>3.2727911811611284E-2</v>
      </c>
    </row>
    <row r="255" spans="1:17" x14ac:dyDescent="0.2">
      <c r="A255" s="1">
        <v>41528</v>
      </c>
      <c r="B255" s="2">
        <f t="shared" si="23"/>
        <v>77</v>
      </c>
      <c r="C255">
        <v>7.2032309359999998</v>
      </c>
      <c r="D255">
        <v>0</v>
      </c>
      <c r="E255">
        <v>1.451164178</v>
      </c>
      <c r="F255">
        <v>5.7366324000000004</v>
      </c>
      <c r="G255">
        <v>13.02270482</v>
      </c>
      <c r="H255">
        <v>0</v>
      </c>
      <c r="I255">
        <f t="shared" si="18"/>
        <v>5.7520667579999998</v>
      </c>
      <c r="J255">
        <f t="shared" si="21"/>
        <v>7.2032309359999998</v>
      </c>
      <c r="K255">
        <f t="shared" si="19"/>
        <v>1.5434357999999371E-2</v>
      </c>
      <c r="P255">
        <f t="shared" si="20"/>
        <v>2.6832717089962832E-3</v>
      </c>
      <c r="Q255">
        <f t="shared" si="22"/>
        <v>2.1426993160613794E-3</v>
      </c>
    </row>
    <row r="256" spans="1:17" x14ac:dyDescent="0.2">
      <c r="A256" s="1">
        <v>41529</v>
      </c>
      <c r="B256" s="2">
        <f t="shared" si="23"/>
        <v>78</v>
      </c>
      <c r="C256">
        <v>5.7366324000000004</v>
      </c>
      <c r="D256">
        <v>4.9000000000000004</v>
      </c>
      <c r="E256">
        <v>2.7417570050000002</v>
      </c>
      <c r="F256">
        <v>7.7567912349999997</v>
      </c>
      <c r="G256">
        <v>12.59405482</v>
      </c>
      <c r="H256">
        <v>0</v>
      </c>
      <c r="I256">
        <f t="shared" si="18"/>
        <v>7.8948753949999997</v>
      </c>
      <c r="J256">
        <f t="shared" si="21"/>
        <v>10.6366324</v>
      </c>
      <c r="K256">
        <f t="shared" si="19"/>
        <v>0.13808416000000001</v>
      </c>
      <c r="P256">
        <f t="shared" si="20"/>
        <v>1.749035331038306E-2</v>
      </c>
      <c r="Q256">
        <f t="shared" si="22"/>
        <v>1.2981943420363009E-2</v>
      </c>
    </row>
    <row r="257" spans="1:17" x14ac:dyDescent="0.2">
      <c r="A257" s="1">
        <v>41530</v>
      </c>
      <c r="B257" s="2">
        <f t="shared" si="23"/>
        <v>78</v>
      </c>
      <c r="C257">
        <v>7.7567912349999997</v>
      </c>
      <c r="D257">
        <v>0</v>
      </c>
      <c r="E257">
        <v>2.1889343000000001</v>
      </c>
      <c r="F257">
        <v>5.5557345439999999</v>
      </c>
      <c r="G257">
        <v>11.904880909999999</v>
      </c>
      <c r="H257">
        <v>0</v>
      </c>
      <c r="I257">
        <f t="shared" si="18"/>
        <v>5.567856935</v>
      </c>
      <c r="J257">
        <f t="shared" si="21"/>
        <v>7.7567912349999997</v>
      </c>
      <c r="K257">
        <f t="shared" si="19"/>
        <v>1.2122391000000121E-2</v>
      </c>
      <c r="P257">
        <f t="shared" si="20"/>
        <v>2.1772094975712809E-3</v>
      </c>
      <c r="Q257">
        <f t="shared" si="22"/>
        <v>1.562810011606574E-3</v>
      </c>
    </row>
    <row r="258" spans="1:17" x14ac:dyDescent="0.2">
      <c r="A258" s="1">
        <v>41531</v>
      </c>
      <c r="B258" s="2">
        <f t="shared" si="23"/>
        <v>79</v>
      </c>
      <c r="C258">
        <v>5.5557345439999999</v>
      </c>
      <c r="D258">
        <v>5.7</v>
      </c>
      <c r="E258">
        <v>2.8294214129999999</v>
      </c>
      <c r="F258">
        <v>7.991935657</v>
      </c>
      <c r="G258">
        <v>13.25933246</v>
      </c>
      <c r="H258">
        <v>0</v>
      </c>
      <c r="I258">
        <f t="shared" ref="I258:I321" si="24">C258+D258-E258</f>
        <v>8.4263131309999988</v>
      </c>
      <c r="J258">
        <f t="shared" si="21"/>
        <v>11.255734543999999</v>
      </c>
      <c r="K258">
        <f t="shared" ref="K258:K321" si="25">I258-F258</f>
        <v>0.43437747399999882</v>
      </c>
      <c r="P258">
        <f t="shared" ref="P258:P321" si="26">K258/I258</f>
        <v>5.1550122484998226E-2</v>
      </c>
      <c r="Q258">
        <f t="shared" si="22"/>
        <v>3.859165941609282E-2</v>
      </c>
    </row>
    <row r="259" spans="1:17" x14ac:dyDescent="0.2">
      <c r="A259" s="1">
        <v>41532</v>
      </c>
      <c r="B259" s="2">
        <f t="shared" si="23"/>
        <v>80</v>
      </c>
      <c r="C259">
        <v>7.991935657</v>
      </c>
      <c r="D259">
        <v>4.7</v>
      </c>
      <c r="E259">
        <v>2.4582314109999999</v>
      </c>
      <c r="F259">
        <v>10.180452000000001</v>
      </c>
      <c r="G259">
        <v>13.202202099999999</v>
      </c>
      <c r="H259">
        <v>0</v>
      </c>
      <c r="I259">
        <f t="shared" si="24"/>
        <v>10.233704246</v>
      </c>
      <c r="J259">
        <f t="shared" ref="J259:J322" si="27">C259+D259</f>
        <v>12.691935657</v>
      </c>
      <c r="K259">
        <f t="shared" si="25"/>
        <v>5.3252245999999559E-2</v>
      </c>
      <c r="P259">
        <f t="shared" si="26"/>
        <v>5.2036139329328397E-3</v>
      </c>
      <c r="Q259">
        <f t="shared" ref="Q259:Q322" si="28">K259/J259</f>
        <v>4.1957544884518288E-3</v>
      </c>
    </row>
    <row r="260" spans="1:17" x14ac:dyDescent="0.2">
      <c r="A260" s="1">
        <v>41533</v>
      </c>
      <c r="B260" s="2">
        <f t="shared" ref="B260:B323" si="29">IF(D260&gt;0,B259+1,B259)</f>
        <v>81</v>
      </c>
      <c r="C260">
        <v>10.180452000000001</v>
      </c>
      <c r="D260">
        <v>4.9000000000000004</v>
      </c>
      <c r="E260">
        <v>3.5275180869999998</v>
      </c>
      <c r="F260">
        <v>11.288793849999999</v>
      </c>
      <c r="G260">
        <v>13.74640763</v>
      </c>
      <c r="H260">
        <v>0</v>
      </c>
      <c r="I260">
        <f t="shared" si="24"/>
        <v>11.552933913</v>
      </c>
      <c r="J260">
        <f t="shared" si="27"/>
        <v>15.080452000000001</v>
      </c>
      <c r="K260">
        <f t="shared" si="25"/>
        <v>0.26414006300000104</v>
      </c>
      <c r="P260">
        <f t="shared" si="26"/>
        <v>2.2863461782878895E-2</v>
      </c>
      <c r="Q260">
        <f t="shared" si="28"/>
        <v>1.7515394299852619E-2</v>
      </c>
    </row>
    <row r="261" spans="1:17" x14ac:dyDescent="0.2">
      <c r="A261" s="1">
        <v>41534</v>
      </c>
      <c r="B261" s="2">
        <f t="shared" si="29"/>
        <v>81</v>
      </c>
      <c r="C261">
        <v>11.288793849999999</v>
      </c>
      <c r="D261">
        <v>0</v>
      </c>
      <c r="E261">
        <v>2.0494122190000001</v>
      </c>
      <c r="F261">
        <v>9.1955550800000001</v>
      </c>
      <c r="G261">
        <v>14.12981218</v>
      </c>
      <c r="H261">
        <v>0</v>
      </c>
      <c r="I261">
        <f t="shared" si="24"/>
        <v>9.2393816309999988</v>
      </c>
      <c r="J261">
        <f t="shared" si="27"/>
        <v>11.288793849999999</v>
      </c>
      <c r="K261">
        <f t="shared" si="25"/>
        <v>4.3826550999998659E-2</v>
      </c>
      <c r="P261">
        <f t="shared" si="26"/>
        <v>4.7434506713037693E-3</v>
      </c>
      <c r="Q261">
        <f t="shared" si="28"/>
        <v>3.8823059028576965E-3</v>
      </c>
    </row>
    <row r="262" spans="1:17" x14ac:dyDescent="0.2">
      <c r="A262" s="1">
        <v>41535</v>
      </c>
      <c r="B262" s="2">
        <f t="shared" si="29"/>
        <v>82</v>
      </c>
      <c r="C262">
        <v>9.1955550800000001</v>
      </c>
      <c r="D262">
        <v>5</v>
      </c>
      <c r="E262">
        <v>3.9727018639999998</v>
      </c>
      <c r="F262">
        <v>10.0116341</v>
      </c>
      <c r="G262">
        <v>13.485268960000001</v>
      </c>
      <c r="H262">
        <v>0</v>
      </c>
      <c r="I262">
        <f t="shared" si="24"/>
        <v>10.222853216000001</v>
      </c>
      <c r="J262">
        <f t="shared" si="27"/>
        <v>14.19555508</v>
      </c>
      <c r="K262">
        <f t="shared" si="25"/>
        <v>0.21121911600000054</v>
      </c>
      <c r="P262">
        <f t="shared" si="26"/>
        <v>2.0661464225018619E-2</v>
      </c>
      <c r="Q262">
        <f t="shared" si="28"/>
        <v>1.487924317222265E-2</v>
      </c>
    </row>
    <row r="263" spans="1:17" x14ac:dyDescent="0.2">
      <c r="A263" s="1">
        <v>41536</v>
      </c>
      <c r="B263" s="2">
        <f t="shared" si="29"/>
        <v>82</v>
      </c>
      <c r="C263">
        <v>10.0116341</v>
      </c>
      <c r="D263">
        <v>0</v>
      </c>
      <c r="E263">
        <v>3.1215481490000001</v>
      </c>
      <c r="F263">
        <v>6.6953453940000003</v>
      </c>
      <c r="G263">
        <v>14.08173839</v>
      </c>
      <c r="H263">
        <v>0</v>
      </c>
      <c r="I263">
        <f t="shared" si="24"/>
        <v>6.8900859509999997</v>
      </c>
      <c r="J263">
        <f t="shared" si="27"/>
        <v>10.0116341</v>
      </c>
      <c r="K263">
        <f t="shared" si="25"/>
        <v>0.19474055699999937</v>
      </c>
      <c r="P263">
        <f t="shared" si="26"/>
        <v>2.8263879200481599E-2</v>
      </c>
      <c r="Q263">
        <f t="shared" si="28"/>
        <v>1.9451425716806747E-2</v>
      </c>
    </row>
    <row r="264" spans="1:17" x14ac:dyDescent="0.2">
      <c r="A264" s="1">
        <v>41537</v>
      </c>
      <c r="B264" s="2">
        <f t="shared" si="29"/>
        <v>83</v>
      </c>
      <c r="C264">
        <v>6.6953453940000003</v>
      </c>
      <c r="D264">
        <v>4.4000000000000004</v>
      </c>
      <c r="E264">
        <v>1.1515860600000001</v>
      </c>
      <c r="F264">
        <v>9.8086202290000006</v>
      </c>
      <c r="G264">
        <v>13.679457510000001</v>
      </c>
      <c r="H264">
        <v>0</v>
      </c>
      <c r="I264">
        <f t="shared" si="24"/>
        <v>9.943759334000001</v>
      </c>
      <c r="J264">
        <f t="shared" si="27"/>
        <v>11.095345394000001</v>
      </c>
      <c r="K264">
        <f t="shared" si="25"/>
        <v>0.13513910500000037</v>
      </c>
      <c r="P264">
        <f t="shared" si="26"/>
        <v>1.3590343496943724E-2</v>
      </c>
      <c r="Q264">
        <f t="shared" si="28"/>
        <v>1.2179801547510109E-2</v>
      </c>
    </row>
    <row r="265" spans="1:17" x14ac:dyDescent="0.2">
      <c r="A265" s="1">
        <v>41538</v>
      </c>
      <c r="B265" s="2">
        <f t="shared" si="29"/>
        <v>84</v>
      </c>
      <c r="C265">
        <v>9.8086202290000006</v>
      </c>
      <c r="D265">
        <v>5.7</v>
      </c>
      <c r="E265">
        <v>1.16704228</v>
      </c>
      <c r="F265">
        <v>14.19134519</v>
      </c>
      <c r="G265">
        <v>13.611835320000001</v>
      </c>
      <c r="H265">
        <v>0</v>
      </c>
      <c r="I265">
        <f t="shared" si="24"/>
        <v>14.341577949000001</v>
      </c>
      <c r="J265">
        <f t="shared" si="27"/>
        <v>15.508620229000002</v>
      </c>
      <c r="K265">
        <f t="shared" si="25"/>
        <v>0.15023275900000144</v>
      </c>
      <c r="P265">
        <f t="shared" si="26"/>
        <v>1.0475329809191377E-2</v>
      </c>
      <c r="Q265">
        <f t="shared" si="28"/>
        <v>9.6870486723942741E-3</v>
      </c>
    </row>
    <row r="266" spans="1:17" x14ac:dyDescent="0.2">
      <c r="A266" s="1">
        <v>41539</v>
      </c>
      <c r="B266" s="2">
        <f t="shared" si="29"/>
        <v>84</v>
      </c>
      <c r="C266">
        <v>14.19134519</v>
      </c>
      <c r="D266">
        <v>0</v>
      </c>
      <c r="E266">
        <v>2.2041708440000001</v>
      </c>
      <c r="F266">
        <v>11.815504539999999</v>
      </c>
      <c r="G266">
        <v>13.74273814</v>
      </c>
      <c r="H266">
        <v>0</v>
      </c>
      <c r="I266">
        <f t="shared" si="24"/>
        <v>11.987174346</v>
      </c>
      <c r="J266">
        <f t="shared" si="27"/>
        <v>14.19134519</v>
      </c>
      <c r="K266">
        <f t="shared" si="25"/>
        <v>0.17166980600000059</v>
      </c>
      <c r="P266">
        <f t="shared" si="26"/>
        <v>1.4321123648066826E-2</v>
      </c>
      <c r="Q266">
        <f t="shared" si="28"/>
        <v>1.2096795878164429E-2</v>
      </c>
    </row>
    <row r="267" spans="1:17" x14ac:dyDescent="0.2">
      <c r="A267" s="1">
        <v>41540</v>
      </c>
      <c r="B267" s="2">
        <f t="shared" si="29"/>
        <v>84</v>
      </c>
      <c r="C267">
        <v>11.815504539999999</v>
      </c>
      <c r="D267">
        <v>0</v>
      </c>
      <c r="E267">
        <v>0.76313636900000004</v>
      </c>
      <c r="F267">
        <v>10.99335934</v>
      </c>
      <c r="G267">
        <v>14.134009349999999</v>
      </c>
      <c r="H267">
        <v>0</v>
      </c>
      <c r="I267">
        <f t="shared" si="24"/>
        <v>11.052368170999999</v>
      </c>
      <c r="J267">
        <f t="shared" si="27"/>
        <v>11.815504539999999</v>
      </c>
      <c r="K267">
        <f t="shared" si="25"/>
        <v>5.9008830999999873E-2</v>
      </c>
      <c r="P267">
        <f t="shared" si="26"/>
        <v>5.3390214736812238E-3</v>
      </c>
      <c r="Q267">
        <f t="shared" si="28"/>
        <v>4.9941863083571613E-3</v>
      </c>
    </row>
    <row r="268" spans="1:17" x14ac:dyDescent="0.2">
      <c r="A268" s="1">
        <v>41541</v>
      </c>
      <c r="B268" s="2">
        <f t="shared" si="29"/>
        <v>84</v>
      </c>
      <c r="C268">
        <v>10.99335934</v>
      </c>
      <c r="D268">
        <v>0</v>
      </c>
      <c r="E268">
        <v>1.974192301</v>
      </c>
      <c r="F268">
        <v>9.0190036199999994</v>
      </c>
      <c r="G268">
        <v>13.26285041</v>
      </c>
      <c r="H268">
        <v>0</v>
      </c>
      <c r="I268">
        <f t="shared" si="24"/>
        <v>9.0191670389999992</v>
      </c>
      <c r="J268">
        <f t="shared" si="27"/>
        <v>10.99335934</v>
      </c>
      <c r="K268">
        <f t="shared" si="25"/>
        <v>1.6341899999972043E-4</v>
      </c>
      <c r="P268">
        <f t="shared" si="26"/>
        <v>1.8119078989564818E-5</v>
      </c>
      <c r="Q268">
        <f t="shared" si="28"/>
        <v>1.4865246822698733E-5</v>
      </c>
    </row>
    <row r="269" spans="1:17" x14ac:dyDescent="0.2">
      <c r="A269" s="1">
        <v>41542</v>
      </c>
      <c r="B269" s="2">
        <f t="shared" si="29"/>
        <v>85</v>
      </c>
      <c r="C269">
        <v>9.0190036199999994</v>
      </c>
      <c r="D269">
        <v>17.3</v>
      </c>
      <c r="E269">
        <v>4.5043055299999999</v>
      </c>
      <c r="F269">
        <v>21.79544559</v>
      </c>
      <c r="G269">
        <v>10.85421285</v>
      </c>
      <c r="H269">
        <v>0</v>
      </c>
      <c r="I269">
        <f t="shared" si="24"/>
        <v>21.81469809</v>
      </c>
      <c r="J269">
        <f t="shared" si="27"/>
        <v>26.31900362</v>
      </c>
      <c r="K269">
        <f t="shared" si="25"/>
        <v>1.9252500000000339E-2</v>
      </c>
      <c r="P269">
        <f t="shared" si="26"/>
        <v>8.8254716707841167E-4</v>
      </c>
      <c r="Q269">
        <f t="shared" si="28"/>
        <v>7.3150565568410144E-4</v>
      </c>
    </row>
    <row r="270" spans="1:17" x14ac:dyDescent="0.2">
      <c r="A270" s="1">
        <v>41543</v>
      </c>
      <c r="B270" s="2">
        <f t="shared" si="29"/>
        <v>85</v>
      </c>
      <c r="C270">
        <v>21.79544559</v>
      </c>
      <c r="D270">
        <v>0</v>
      </c>
      <c r="E270">
        <v>4.5527662920000003</v>
      </c>
      <c r="F270">
        <v>17.175507440000001</v>
      </c>
      <c r="G270">
        <v>10.57519025</v>
      </c>
      <c r="H270">
        <v>0</v>
      </c>
      <c r="I270">
        <f t="shared" si="24"/>
        <v>17.242679297999999</v>
      </c>
      <c r="J270">
        <f t="shared" si="27"/>
        <v>21.79544559</v>
      </c>
      <c r="K270">
        <f t="shared" si="25"/>
        <v>6.7171857999998252E-2</v>
      </c>
      <c r="P270">
        <f t="shared" si="26"/>
        <v>3.8956740329671156E-3</v>
      </c>
      <c r="Q270">
        <f t="shared" si="28"/>
        <v>3.0819217584988246E-3</v>
      </c>
    </row>
    <row r="271" spans="1:17" x14ac:dyDescent="0.2">
      <c r="A271" s="1">
        <v>41544</v>
      </c>
      <c r="B271" s="2">
        <f t="shared" si="29"/>
        <v>85</v>
      </c>
      <c r="C271">
        <v>17.175507440000001</v>
      </c>
      <c r="D271">
        <v>0</v>
      </c>
      <c r="E271">
        <v>6.5577475869999997</v>
      </c>
      <c r="F271">
        <v>10.16544633</v>
      </c>
      <c r="G271">
        <v>10.258946679999999</v>
      </c>
      <c r="H271">
        <v>0</v>
      </c>
      <c r="I271">
        <f t="shared" si="24"/>
        <v>10.617759853000001</v>
      </c>
      <c r="J271">
        <f t="shared" si="27"/>
        <v>17.175507440000001</v>
      </c>
      <c r="K271">
        <f t="shared" si="25"/>
        <v>0.45231352300000083</v>
      </c>
      <c r="P271">
        <f t="shared" si="26"/>
        <v>4.2599713052673877E-2</v>
      </c>
      <c r="Q271">
        <f t="shared" si="28"/>
        <v>2.6334798234060257E-2</v>
      </c>
    </row>
    <row r="272" spans="1:17" x14ac:dyDescent="0.2">
      <c r="A272" s="1">
        <v>41545</v>
      </c>
      <c r="B272" s="2">
        <f t="shared" si="29"/>
        <v>85</v>
      </c>
      <c r="C272">
        <v>10.16544633</v>
      </c>
      <c r="D272">
        <v>0</v>
      </c>
      <c r="E272">
        <v>5.0776868129999997</v>
      </c>
      <c r="F272">
        <v>5.0760535920000001</v>
      </c>
      <c r="G272">
        <v>11.17807309</v>
      </c>
      <c r="H272">
        <v>0</v>
      </c>
      <c r="I272">
        <f t="shared" si="24"/>
        <v>5.0877595170000003</v>
      </c>
      <c r="J272">
        <f t="shared" si="27"/>
        <v>10.16544633</v>
      </c>
      <c r="K272">
        <f t="shared" si="25"/>
        <v>1.1705925000000228E-2</v>
      </c>
      <c r="P272">
        <f t="shared" si="26"/>
        <v>2.3008015533923331E-3</v>
      </c>
      <c r="Q272">
        <f t="shared" si="28"/>
        <v>1.1515406820312461E-3</v>
      </c>
    </row>
    <row r="273" spans="1:17" x14ac:dyDescent="0.2">
      <c r="A273" s="1">
        <v>41546</v>
      </c>
      <c r="B273" s="2">
        <f t="shared" si="29"/>
        <v>85</v>
      </c>
      <c r="C273">
        <v>5.0760535920000001</v>
      </c>
      <c r="D273">
        <v>0</v>
      </c>
      <c r="E273">
        <v>4.2626210640000002</v>
      </c>
      <c r="F273">
        <v>0.58886844199999999</v>
      </c>
      <c r="G273">
        <v>8.2427265129999991</v>
      </c>
      <c r="H273">
        <v>0</v>
      </c>
      <c r="I273">
        <f t="shared" si="24"/>
        <v>0.81343252799999988</v>
      </c>
      <c r="J273">
        <f t="shared" si="27"/>
        <v>5.0760535920000001</v>
      </c>
      <c r="K273">
        <f t="shared" si="25"/>
        <v>0.22456408599999989</v>
      </c>
      <c r="P273">
        <f t="shared" si="26"/>
        <v>0.27606971478278519</v>
      </c>
      <c r="Q273">
        <f t="shared" si="28"/>
        <v>4.4239896590910516E-2</v>
      </c>
    </row>
    <row r="274" spans="1:17" x14ac:dyDescent="0.2">
      <c r="A274" s="1">
        <v>41547</v>
      </c>
      <c r="B274" s="2">
        <f t="shared" si="29"/>
        <v>86</v>
      </c>
      <c r="C274">
        <v>0.58886844199999999</v>
      </c>
      <c r="D274">
        <v>11.4</v>
      </c>
      <c r="E274">
        <v>2.8754243480000001</v>
      </c>
      <c r="F274">
        <v>9.0786477629999993</v>
      </c>
      <c r="G274">
        <v>10.259061559999999</v>
      </c>
      <c r="H274">
        <v>0</v>
      </c>
      <c r="I274">
        <f t="shared" si="24"/>
        <v>9.1134440940000019</v>
      </c>
      <c r="J274">
        <f t="shared" si="27"/>
        <v>11.988868442000001</v>
      </c>
      <c r="K274">
        <f t="shared" si="25"/>
        <v>3.4796331000002567E-2</v>
      </c>
      <c r="P274">
        <f t="shared" si="26"/>
        <v>3.8181318326088545E-3</v>
      </c>
      <c r="Q274">
        <f t="shared" si="28"/>
        <v>2.9023865903893254E-3</v>
      </c>
    </row>
    <row r="275" spans="1:17" x14ac:dyDescent="0.2">
      <c r="A275" s="1">
        <v>41548</v>
      </c>
      <c r="B275" s="2">
        <f t="shared" si="29"/>
        <v>86</v>
      </c>
      <c r="C275">
        <v>9.0786477629999993</v>
      </c>
      <c r="D275">
        <v>0</v>
      </c>
      <c r="E275">
        <v>4.4862330950000002</v>
      </c>
      <c r="F275">
        <v>4.5805974149999997</v>
      </c>
      <c r="G275">
        <v>9.9776334870000003</v>
      </c>
      <c r="H275">
        <v>0</v>
      </c>
      <c r="I275">
        <f t="shared" si="24"/>
        <v>4.5924146679999991</v>
      </c>
      <c r="J275">
        <f t="shared" si="27"/>
        <v>9.0786477629999993</v>
      </c>
      <c r="K275">
        <f t="shared" si="25"/>
        <v>1.1817252999999361E-2</v>
      </c>
      <c r="P275">
        <f t="shared" si="26"/>
        <v>2.5732112307588692E-3</v>
      </c>
      <c r="Q275">
        <f t="shared" si="28"/>
        <v>1.3016534299480744E-3</v>
      </c>
    </row>
    <row r="276" spans="1:17" x14ac:dyDescent="0.2">
      <c r="A276" s="1">
        <v>41549</v>
      </c>
      <c r="B276" s="2">
        <f t="shared" si="29"/>
        <v>86</v>
      </c>
      <c r="C276">
        <v>4.5805974149999997</v>
      </c>
      <c r="D276">
        <v>0</v>
      </c>
      <c r="E276">
        <v>2.5301585480000002</v>
      </c>
      <c r="F276">
        <v>1.934727662</v>
      </c>
      <c r="G276">
        <v>10.697704379999999</v>
      </c>
      <c r="H276">
        <v>0</v>
      </c>
      <c r="I276">
        <f t="shared" si="24"/>
        <v>2.0504388669999996</v>
      </c>
      <c r="J276">
        <f t="shared" si="27"/>
        <v>4.5805974149999997</v>
      </c>
      <c r="K276">
        <f t="shared" si="25"/>
        <v>0.11571120499999954</v>
      </c>
      <c r="P276">
        <f t="shared" si="26"/>
        <v>5.643240911117569E-2</v>
      </c>
      <c r="Q276">
        <f t="shared" si="28"/>
        <v>2.5261160175544382E-2</v>
      </c>
    </row>
    <row r="277" spans="1:17" x14ac:dyDescent="0.2">
      <c r="A277" s="1">
        <v>41550</v>
      </c>
      <c r="B277" s="2">
        <f t="shared" si="29"/>
        <v>87</v>
      </c>
      <c r="C277">
        <v>1.934727662</v>
      </c>
      <c r="D277">
        <v>12.7</v>
      </c>
      <c r="E277">
        <v>2.712260611</v>
      </c>
      <c r="F277">
        <v>11.92214442</v>
      </c>
      <c r="G277">
        <v>10.93891683</v>
      </c>
      <c r="H277">
        <v>0</v>
      </c>
      <c r="I277">
        <f t="shared" si="24"/>
        <v>11.922467051</v>
      </c>
      <c r="J277">
        <f t="shared" si="27"/>
        <v>14.634727662</v>
      </c>
      <c r="K277">
        <f t="shared" si="25"/>
        <v>3.2263099999951805E-4</v>
      </c>
      <c r="P277">
        <f t="shared" si="26"/>
        <v>2.7060758366487353E-5</v>
      </c>
      <c r="Q277">
        <f t="shared" si="28"/>
        <v>2.2045575937654786E-5</v>
      </c>
    </row>
    <row r="278" spans="1:17" x14ac:dyDescent="0.2">
      <c r="A278" s="1">
        <v>41551</v>
      </c>
      <c r="B278" s="2">
        <f t="shared" si="29"/>
        <v>87</v>
      </c>
      <c r="C278">
        <v>11.92214442</v>
      </c>
      <c r="D278">
        <v>0</v>
      </c>
      <c r="E278">
        <v>2.7905413870000002</v>
      </c>
      <c r="F278">
        <v>8.9322149700000004</v>
      </c>
      <c r="G278">
        <v>11.67679886</v>
      </c>
      <c r="H278">
        <v>0</v>
      </c>
      <c r="I278">
        <f t="shared" si="24"/>
        <v>9.1316030330000011</v>
      </c>
      <c r="J278">
        <f t="shared" si="27"/>
        <v>11.92214442</v>
      </c>
      <c r="K278">
        <f t="shared" si="25"/>
        <v>0.19938806300000067</v>
      </c>
      <c r="P278">
        <f t="shared" si="26"/>
        <v>2.1834946425008557E-2</v>
      </c>
      <c r="Q278">
        <f t="shared" si="28"/>
        <v>1.6724177796866569E-2</v>
      </c>
    </row>
    <row r="279" spans="1:17" x14ac:dyDescent="0.2">
      <c r="A279" s="1">
        <v>41552</v>
      </c>
      <c r="B279" s="2">
        <f t="shared" si="29"/>
        <v>87</v>
      </c>
      <c r="C279">
        <v>8.9322149700000004</v>
      </c>
      <c r="D279">
        <v>0</v>
      </c>
      <c r="E279">
        <v>2.8219989129999998</v>
      </c>
      <c r="F279">
        <v>6.1100781130000001</v>
      </c>
      <c r="G279">
        <v>11.06662116</v>
      </c>
      <c r="H279">
        <v>0</v>
      </c>
      <c r="I279">
        <f t="shared" si="24"/>
        <v>6.1102160570000006</v>
      </c>
      <c r="J279">
        <f t="shared" si="27"/>
        <v>8.9322149700000004</v>
      </c>
      <c r="K279">
        <f t="shared" si="25"/>
        <v>1.3794400000044504E-4</v>
      </c>
      <c r="P279">
        <f t="shared" si="26"/>
        <v>2.2575961097547982E-5</v>
      </c>
      <c r="Q279">
        <f t="shared" si="28"/>
        <v>1.5443425898699013E-5</v>
      </c>
    </row>
    <row r="280" spans="1:17" x14ac:dyDescent="0.2">
      <c r="A280" s="1">
        <v>41553</v>
      </c>
      <c r="B280" s="2">
        <f t="shared" si="29"/>
        <v>88</v>
      </c>
      <c r="C280">
        <v>6.1100781130000001</v>
      </c>
      <c r="D280">
        <v>14.1</v>
      </c>
      <c r="E280">
        <v>5.2670744090000001</v>
      </c>
      <c r="F280">
        <v>14.85974008</v>
      </c>
      <c r="G280">
        <v>10.70630997</v>
      </c>
      <c r="H280">
        <v>0</v>
      </c>
      <c r="I280">
        <f t="shared" si="24"/>
        <v>14.943003704000002</v>
      </c>
      <c r="J280">
        <f t="shared" si="27"/>
        <v>20.210078113000002</v>
      </c>
      <c r="K280">
        <f t="shared" si="25"/>
        <v>8.3263624000002423E-2</v>
      </c>
      <c r="P280">
        <f t="shared" si="26"/>
        <v>5.5720807977658526E-3</v>
      </c>
      <c r="Q280">
        <f t="shared" si="28"/>
        <v>4.1199060950904308E-3</v>
      </c>
    </row>
    <row r="281" spans="1:17" x14ac:dyDescent="0.2">
      <c r="A281" s="1">
        <v>41554</v>
      </c>
      <c r="B281" s="2">
        <f t="shared" si="29"/>
        <v>88</v>
      </c>
      <c r="C281">
        <v>14.85974008</v>
      </c>
      <c r="D281">
        <v>0</v>
      </c>
      <c r="E281">
        <v>4.9224684229999998</v>
      </c>
      <c r="F281">
        <v>9.3910172690000007</v>
      </c>
      <c r="G281">
        <v>11.4832079</v>
      </c>
      <c r="H281">
        <v>0</v>
      </c>
      <c r="I281">
        <f t="shared" si="24"/>
        <v>9.9372716570000001</v>
      </c>
      <c r="J281">
        <f t="shared" si="27"/>
        <v>14.85974008</v>
      </c>
      <c r="K281">
        <f t="shared" si="25"/>
        <v>0.54625438799999948</v>
      </c>
      <c r="P281">
        <f t="shared" si="26"/>
        <v>5.4970258120618821E-2</v>
      </c>
      <c r="Q281">
        <f t="shared" si="28"/>
        <v>3.6760696018849848E-2</v>
      </c>
    </row>
    <row r="282" spans="1:17" x14ac:dyDescent="0.2">
      <c r="A282" s="1">
        <v>41555</v>
      </c>
      <c r="B282" s="2">
        <f t="shared" si="29"/>
        <v>88</v>
      </c>
      <c r="C282">
        <v>9.3910172690000007</v>
      </c>
      <c r="D282">
        <v>0</v>
      </c>
      <c r="E282">
        <v>4.1363832379999996</v>
      </c>
      <c r="F282">
        <v>5.231989649</v>
      </c>
      <c r="G282">
        <v>11.04671798</v>
      </c>
      <c r="H282">
        <v>0</v>
      </c>
      <c r="I282">
        <f t="shared" si="24"/>
        <v>5.254634031000001</v>
      </c>
      <c r="J282">
        <f t="shared" si="27"/>
        <v>9.3910172690000007</v>
      </c>
      <c r="K282">
        <f t="shared" si="25"/>
        <v>2.2644382000001073E-2</v>
      </c>
      <c r="P282">
        <f t="shared" si="26"/>
        <v>4.3094118194358169E-3</v>
      </c>
      <c r="Q282">
        <f t="shared" si="28"/>
        <v>2.4112810520273225E-3</v>
      </c>
    </row>
    <row r="283" spans="1:17" x14ac:dyDescent="0.2">
      <c r="A283" s="1">
        <v>41556</v>
      </c>
      <c r="B283" s="2">
        <f t="shared" si="29"/>
        <v>88</v>
      </c>
      <c r="C283">
        <v>5.231989649</v>
      </c>
      <c r="D283">
        <v>0</v>
      </c>
      <c r="E283">
        <v>1.978636866</v>
      </c>
      <c r="F283">
        <v>3.216361858</v>
      </c>
      <c r="G283">
        <v>11.886766639999999</v>
      </c>
      <c r="H283">
        <v>0</v>
      </c>
      <c r="I283">
        <f t="shared" si="24"/>
        <v>3.253352783</v>
      </c>
      <c r="J283">
        <f t="shared" si="27"/>
        <v>5.231989649</v>
      </c>
      <c r="K283">
        <f t="shared" si="25"/>
        <v>3.6990925000000008E-2</v>
      </c>
      <c r="P283">
        <f t="shared" si="26"/>
        <v>1.1370093398198805E-2</v>
      </c>
      <c r="Q283">
        <f t="shared" si="28"/>
        <v>7.0701449126662841E-3</v>
      </c>
    </row>
    <row r="284" spans="1:17" x14ac:dyDescent="0.2">
      <c r="A284" s="1">
        <v>41557</v>
      </c>
      <c r="B284" s="2">
        <f t="shared" si="29"/>
        <v>89</v>
      </c>
      <c r="C284">
        <v>3.216361858</v>
      </c>
      <c r="D284">
        <v>12.8</v>
      </c>
      <c r="E284">
        <v>2.0908119279999999</v>
      </c>
      <c r="F284">
        <v>13.86438051</v>
      </c>
      <c r="G284">
        <v>12.45284773</v>
      </c>
      <c r="H284">
        <v>0</v>
      </c>
      <c r="I284">
        <f t="shared" si="24"/>
        <v>13.925549929999999</v>
      </c>
      <c r="J284">
        <f t="shared" si="27"/>
        <v>16.016361858</v>
      </c>
      <c r="K284">
        <f t="shared" si="25"/>
        <v>6.1169419999998809E-2</v>
      </c>
      <c r="P284">
        <f t="shared" si="26"/>
        <v>4.3926035458190923E-3</v>
      </c>
      <c r="Q284">
        <f t="shared" si="28"/>
        <v>3.8191831916837807E-3</v>
      </c>
    </row>
    <row r="285" spans="1:17" x14ac:dyDescent="0.2">
      <c r="A285" s="1">
        <v>41558</v>
      </c>
      <c r="B285" s="2">
        <f t="shared" si="29"/>
        <v>89</v>
      </c>
      <c r="C285">
        <v>13.86438051</v>
      </c>
      <c r="D285">
        <v>0</v>
      </c>
      <c r="E285">
        <v>2.364488997</v>
      </c>
      <c r="F285">
        <v>11.47901935</v>
      </c>
      <c r="G285">
        <v>13.28812398</v>
      </c>
      <c r="H285">
        <v>0</v>
      </c>
      <c r="I285">
        <f t="shared" si="24"/>
        <v>11.499891513</v>
      </c>
      <c r="J285">
        <f t="shared" si="27"/>
        <v>13.86438051</v>
      </c>
      <c r="K285">
        <f t="shared" si="25"/>
        <v>2.0872162999999944E-2</v>
      </c>
      <c r="P285">
        <f t="shared" si="26"/>
        <v>1.8149878176159403E-3</v>
      </c>
      <c r="Q285">
        <f t="shared" si="28"/>
        <v>1.5054522619994035E-3</v>
      </c>
    </row>
    <row r="286" spans="1:17" x14ac:dyDescent="0.2">
      <c r="A286" s="1">
        <v>41559</v>
      </c>
      <c r="B286" s="2">
        <f t="shared" si="29"/>
        <v>89</v>
      </c>
      <c r="C286">
        <v>11.47901935</v>
      </c>
      <c r="D286">
        <v>0</v>
      </c>
      <c r="E286">
        <v>2.2127726839999999</v>
      </c>
      <c r="F286">
        <v>9.2078683350000006</v>
      </c>
      <c r="G286">
        <v>12.471570809999999</v>
      </c>
      <c r="H286">
        <v>0</v>
      </c>
      <c r="I286">
        <f t="shared" si="24"/>
        <v>9.2662466660000007</v>
      </c>
      <c r="J286">
        <f t="shared" si="27"/>
        <v>11.47901935</v>
      </c>
      <c r="K286">
        <f t="shared" si="25"/>
        <v>5.8378331000000117E-2</v>
      </c>
      <c r="P286">
        <f t="shared" si="26"/>
        <v>6.3001054368867276E-3</v>
      </c>
      <c r="Q286">
        <f t="shared" si="28"/>
        <v>5.085654899606047E-3</v>
      </c>
    </row>
    <row r="287" spans="1:17" x14ac:dyDescent="0.2">
      <c r="A287" s="1">
        <v>41560</v>
      </c>
      <c r="B287" s="2">
        <f t="shared" si="29"/>
        <v>89</v>
      </c>
      <c r="C287">
        <v>9.2078683350000006</v>
      </c>
      <c r="D287">
        <v>0</v>
      </c>
      <c r="E287">
        <v>2.3254345750000001</v>
      </c>
      <c r="F287">
        <v>6.8570884850000002</v>
      </c>
      <c r="G287">
        <v>12.399087919999999</v>
      </c>
      <c r="H287">
        <v>0</v>
      </c>
      <c r="I287">
        <f t="shared" si="24"/>
        <v>6.8824337600000005</v>
      </c>
      <c r="J287">
        <f t="shared" si="27"/>
        <v>9.2078683350000006</v>
      </c>
      <c r="K287">
        <f t="shared" si="25"/>
        <v>2.5345275000000278E-2</v>
      </c>
      <c r="P287">
        <f t="shared" si="26"/>
        <v>3.6826035504045704E-3</v>
      </c>
      <c r="Q287">
        <f t="shared" si="28"/>
        <v>2.7525670522090795E-3</v>
      </c>
    </row>
    <row r="288" spans="1:17" x14ac:dyDescent="0.2">
      <c r="A288" s="1">
        <v>41561</v>
      </c>
      <c r="B288" s="2">
        <f t="shared" si="29"/>
        <v>90</v>
      </c>
      <c r="C288">
        <v>6.8570884850000002</v>
      </c>
      <c r="D288">
        <v>22</v>
      </c>
      <c r="E288">
        <v>1.4509285350000001</v>
      </c>
      <c r="F288">
        <v>26.56030724</v>
      </c>
      <c r="G288">
        <v>13.94070615</v>
      </c>
      <c r="H288">
        <v>0</v>
      </c>
      <c r="I288">
        <f t="shared" si="24"/>
        <v>27.406159949999999</v>
      </c>
      <c r="J288">
        <f t="shared" si="27"/>
        <v>28.857088484999998</v>
      </c>
      <c r="K288">
        <f t="shared" si="25"/>
        <v>0.84585270999999906</v>
      </c>
      <c r="P288">
        <f t="shared" si="26"/>
        <v>3.0863598240073727E-2</v>
      </c>
      <c r="Q288">
        <f t="shared" si="28"/>
        <v>2.9311782803025186E-2</v>
      </c>
    </row>
    <row r="289" spans="1:17" x14ac:dyDescent="0.2">
      <c r="A289" s="1">
        <v>41562</v>
      </c>
      <c r="B289" s="2">
        <f t="shared" si="29"/>
        <v>90</v>
      </c>
      <c r="C289">
        <v>26.56030724</v>
      </c>
      <c r="D289">
        <v>0</v>
      </c>
      <c r="E289">
        <v>1.7718958869999999</v>
      </c>
      <c r="F289">
        <v>24.469281559999999</v>
      </c>
      <c r="G289">
        <v>13.526893340000001</v>
      </c>
      <c r="H289">
        <v>0</v>
      </c>
      <c r="I289">
        <f t="shared" si="24"/>
        <v>24.788411353000001</v>
      </c>
      <c r="J289">
        <f t="shared" si="27"/>
        <v>26.56030724</v>
      </c>
      <c r="K289">
        <f t="shared" si="25"/>
        <v>0.31912979300000188</v>
      </c>
      <c r="P289">
        <f t="shared" si="26"/>
        <v>1.2874152702060087E-2</v>
      </c>
      <c r="Q289">
        <f t="shared" si="28"/>
        <v>1.2015289963189518E-2</v>
      </c>
    </row>
    <row r="290" spans="1:17" x14ac:dyDescent="0.2">
      <c r="A290" s="1">
        <v>41563</v>
      </c>
      <c r="B290" s="2">
        <f t="shared" si="29"/>
        <v>90</v>
      </c>
      <c r="C290">
        <v>24.469281559999999</v>
      </c>
      <c r="D290">
        <v>0</v>
      </c>
      <c r="E290">
        <v>3.1075299360000002</v>
      </c>
      <c r="F290">
        <v>21.323204969999999</v>
      </c>
      <c r="G290">
        <v>11.191518690000001</v>
      </c>
      <c r="H290">
        <v>0</v>
      </c>
      <c r="I290">
        <f t="shared" si="24"/>
        <v>21.361751624</v>
      </c>
      <c r="J290">
        <f t="shared" si="27"/>
        <v>24.469281559999999</v>
      </c>
      <c r="K290">
        <f t="shared" si="25"/>
        <v>3.8546654000001013E-2</v>
      </c>
      <c r="P290">
        <f t="shared" si="26"/>
        <v>1.8044706575791152E-3</v>
      </c>
      <c r="Q290">
        <f t="shared" si="28"/>
        <v>1.5753079593073681E-3</v>
      </c>
    </row>
    <row r="291" spans="1:17" x14ac:dyDescent="0.2">
      <c r="A291" s="1">
        <v>41564</v>
      </c>
      <c r="B291" s="2">
        <f t="shared" si="29"/>
        <v>90</v>
      </c>
      <c r="C291">
        <v>21.323204969999999</v>
      </c>
      <c r="D291">
        <v>0</v>
      </c>
      <c r="E291">
        <v>3.616538566</v>
      </c>
      <c r="F291">
        <v>17.3122951</v>
      </c>
      <c r="G291">
        <v>10.73184403</v>
      </c>
      <c r="H291">
        <v>0</v>
      </c>
      <c r="I291">
        <f t="shared" si="24"/>
        <v>17.706666404</v>
      </c>
      <c r="J291">
        <f t="shared" si="27"/>
        <v>21.323204969999999</v>
      </c>
      <c r="K291">
        <f t="shared" si="25"/>
        <v>0.39437130399999987</v>
      </c>
      <c r="P291">
        <f t="shared" si="26"/>
        <v>2.2272476083409466E-2</v>
      </c>
      <c r="Q291">
        <f t="shared" si="28"/>
        <v>1.8494935660696783E-2</v>
      </c>
    </row>
    <row r="292" spans="1:17" x14ac:dyDescent="0.2">
      <c r="A292" s="1">
        <v>41565</v>
      </c>
      <c r="B292" s="2">
        <f t="shared" si="29"/>
        <v>90</v>
      </c>
      <c r="C292">
        <v>17.3122951</v>
      </c>
      <c r="D292">
        <v>0</v>
      </c>
      <c r="E292">
        <v>2.754376052</v>
      </c>
      <c r="F292">
        <v>14.34842521</v>
      </c>
      <c r="G292">
        <v>13.336596139999999</v>
      </c>
      <c r="H292">
        <v>0</v>
      </c>
      <c r="I292">
        <f t="shared" si="24"/>
        <v>14.557919048</v>
      </c>
      <c r="J292">
        <f t="shared" si="27"/>
        <v>17.3122951</v>
      </c>
      <c r="K292">
        <f t="shared" si="25"/>
        <v>0.20949383800000021</v>
      </c>
      <c r="P292">
        <f t="shared" si="26"/>
        <v>1.4390369757467564E-2</v>
      </c>
      <c r="Q292">
        <f t="shared" si="28"/>
        <v>1.2100870323080399E-2</v>
      </c>
    </row>
    <row r="293" spans="1:17" x14ac:dyDescent="0.2">
      <c r="A293" s="1">
        <v>41566</v>
      </c>
      <c r="B293" s="2">
        <f t="shared" si="29"/>
        <v>90</v>
      </c>
      <c r="C293">
        <v>14.34842521</v>
      </c>
      <c r="D293">
        <v>0</v>
      </c>
      <c r="E293">
        <v>3.8176265210000002</v>
      </c>
      <c r="F293">
        <v>10.51344862</v>
      </c>
      <c r="G293">
        <v>14.00457125</v>
      </c>
      <c r="H293">
        <v>0</v>
      </c>
      <c r="I293">
        <f t="shared" si="24"/>
        <v>10.530798689000001</v>
      </c>
      <c r="J293">
        <f t="shared" si="27"/>
        <v>14.34842521</v>
      </c>
      <c r="K293">
        <f t="shared" si="25"/>
        <v>1.7350069000000801E-2</v>
      </c>
      <c r="P293">
        <f t="shared" si="26"/>
        <v>1.6475549018066316E-3</v>
      </c>
      <c r="Q293">
        <f t="shared" si="28"/>
        <v>1.2091967408317977E-3</v>
      </c>
    </row>
    <row r="294" spans="1:17" x14ac:dyDescent="0.2">
      <c r="A294" s="1">
        <v>41567</v>
      </c>
      <c r="B294" s="2">
        <f t="shared" si="29"/>
        <v>90</v>
      </c>
      <c r="C294">
        <v>10.51344862</v>
      </c>
      <c r="D294">
        <v>0</v>
      </c>
      <c r="E294">
        <v>0.85672462400000005</v>
      </c>
      <c r="F294">
        <v>9.4860308010000001</v>
      </c>
      <c r="G294">
        <v>13.991176250000001</v>
      </c>
      <c r="H294">
        <v>0</v>
      </c>
      <c r="I294">
        <f t="shared" si="24"/>
        <v>9.6567239960000002</v>
      </c>
      <c r="J294">
        <f t="shared" si="27"/>
        <v>10.51344862</v>
      </c>
      <c r="K294">
        <f t="shared" si="25"/>
        <v>0.17069319500000013</v>
      </c>
      <c r="P294">
        <f t="shared" si="26"/>
        <v>1.7676097512024213E-2</v>
      </c>
      <c r="Q294">
        <f t="shared" si="28"/>
        <v>1.6235699737504411E-2</v>
      </c>
    </row>
    <row r="295" spans="1:17" x14ac:dyDescent="0.2">
      <c r="A295" s="1">
        <v>41568</v>
      </c>
      <c r="B295" s="2">
        <f t="shared" si="29"/>
        <v>90</v>
      </c>
      <c r="C295">
        <v>9.4860308010000001</v>
      </c>
      <c r="D295">
        <v>0</v>
      </c>
      <c r="E295">
        <v>0.87198381599999997</v>
      </c>
      <c r="F295">
        <v>8.6136921130000008</v>
      </c>
      <c r="G295">
        <v>13.956469009999999</v>
      </c>
      <c r="H295">
        <v>0</v>
      </c>
      <c r="I295">
        <f t="shared" si="24"/>
        <v>8.6140469849999999</v>
      </c>
      <c r="J295">
        <f t="shared" si="27"/>
        <v>9.4860308010000001</v>
      </c>
      <c r="K295">
        <f t="shared" si="25"/>
        <v>3.5487199999906238E-4</v>
      </c>
      <c r="P295">
        <f t="shared" si="26"/>
        <v>4.1196896257591333E-5</v>
      </c>
      <c r="Q295">
        <f t="shared" si="28"/>
        <v>3.7409956539636412E-5</v>
      </c>
    </row>
    <row r="296" spans="1:17" x14ac:dyDescent="0.2">
      <c r="A296" s="1">
        <v>41569</v>
      </c>
      <c r="B296" s="2">
        <f t="shared" si="29"/>
        <v>91</v>
      </c>
      <c r="C296">
        <v>8.6136921130000008</v>
      </c>
      <c r="D296">
        <v>41.2</v>
      </c>
      <c r="E296">
        <v>3.2590397169999998</v>
      </c>
      <c r="F296">
        <v>46.406204279999997</v>
      </c>
      <c r="G296">
        <v>13.612823860000001</v>
      </c>
      <c r="H296">
        <v>0</v>
      </c>
      <c r="I296">
        <f t="shared" si="24"/>
        <v>46.554652396000002</v>
      </c>
      <c r="J296">
        <f t="shared" si="27"/>
        <v>49.813692113000002</v>
      </c>
      <c r="K296">
        <f t="shared" si="25"/>
        <v>0.1484481160000044</v>
      </c>
      <c r="P296">
        <f t="shared" si="26"/>
        <v>3.1886848759450546E-3</v>
      </c>
      <c r="Q296">
        <f t="shared" si="28"/>
        <v>2.9800665179215563E-3</v>
      </c>
    </row>
    <row r="297" spans="1:17" x14ac:dyDescent="0.2">
      <c r="A297" s="1">
        <v>41570</v>
      </c>
      <c r="B297" s="2">
        <f t="shared" si="29"/>
        <v>91</v>
      </c>
      <c r="C297">
        <v>46.406204279999997</v>
      </c>
      <c r="D297">
        <v>0</v>
      </c>
      <c r="E297">
        <v>4.8319170869999999</v>
      </c>
      <c r="F297">
        <v>41.436248110000001</v>
      </c>
      <c r="G297">
        <v>11.915646260000001</v>
      </c>
      <c r="H297">
        <v>0</v>
      </c>
      <c r="I297">
        <f t="shared" si="24"/>
        <v>41.574287192999996</v>
      </c>
      <c r="J297">
        <f t="shared" si="27"/>
        <v>46.406204279999997</v>
      </c>
      <c r="K297">
        <f t="shared" si="25"/>
        <v>0.13803908299999534</v>
      </c>
      <c r="P297">
        <f t="shared" si="26"/>
        <v>3.3202994523797262E-3</v>
      </c>
      <c r="Q297">
        <f t="shared" si="28"/>
        <v>2.9745824969245977E-3</v>
      </c>
    </row>
    <row r="298" spans="1:17" x14ac:dyDescent="0.2">
      <c r="A298" s="1">
        <v>41571</v>
      </c>
      <c r="B298" s="2">
        <f t="shared" si="29"/>
        <v>91</v>
      </c>
      <c r="C298">
        <v>41.436248110000001</v>
      </c>
      <c r="D298">
        <v>0</v>
      </c>
      <c r="E298">
        <v>4.0398013820000003</v>
      </c>
      <c r="F298">
        <v>36.811215109999999</v>
      </c>
      <c r="G298">
        <v>11.974719179999999</v>
      </c>
      <c r="H298">
        <v>0</v>
      </c>
      <c r="I298">
        <f t="shared" si="24"/>
        <v>37.396446728000001</v>
      </c>
      <c r="J298">
        <f t="shared" si="27"/>
        <v>41.436248110000001</v>
      </c>
      <c r="K298">
        <f t="shared" si="25"/>
        <v>0.58523161800000167</v>
      </c>
      <c r="P298">
        <f t="shared" si="26"/>
        <v>1.5649391030560632E-2</v>
      </c>
      <c r="Q298">
        <f t="shared" si="28"/>
        <v>1.4123663330869115E-2</v>
      </c>
    </row>
    <row r="299" spans="1:17" x14ac:dyDescent="0.2">
      <c r="A299" s="1">
        <v>41572</v>
      </c>
      <c r="B299" s="2">
        <f t="shared" si="29"/>
        <v>91</v>
      </c>
      <c r="C299">
        <v>36.811215109999999</v>
      </c>
      <c r="D299">
        <v>0</v>
      </c>
      <c r="E299">
        <v>4.1146988630000001</v>
      </c>
      <c r="F299">
        <v>32.586716500000001</v>
      </c>
      <c r="G299">
        <v>11.913207460000001</v>
      </c>
      <c r="H299">
        <v>0</v>
      </c>
      <c r="I299">
        <f t="shared" si="24"/>
        <v>32.696516246999998</v>
      </c>
      <c r="J299">
        <f t="shared" si="27"/>
        <v>36.811215109999999</v>
      </c>
      <c r="K299">
        <f t="shared" si="25"/>
        <v>0.10979974699999673</v>
      </c>
      <c r="P299">
        <f t="shared" si="26"/>
        <v>3.3581481944600497E-3</v>
      </c>
      <c r="Q299">
        <f t="shared" si="28"/>
        <v>2.9827797499183593E-3</v>
      </c>
    </row>
    <row r="300" spans="1:17" x14ac:dyDescent="0.2">
      <c r="A300" s="1">
        <v>41573</v>
      </c>
      <c r="B300" s="2">
        <f t="shared" si="29"/>
        <v>91</v>
      </c>
      <c r="C300">
        <v>32.586716500000001</v>
      </c>
      <c r="D300">
        <v>0</v>
      </c>
      <c r="E300">
        <v>2.881351548</v>
      </c>
      <c r="F300">
        <v>29.285495059999999</v>
      </c>
      <c r="G300">
        <v>11.92779427</v>
      </c>
      <c r="H300">
        <v>0</v>
      </c>
      <c r="I300">
        <f t="shared" si="24"/>
        <v>29.705364952</v>
      </c>
      <c r="J300">
        <f t="shared" si="27"/>
        <v>32.586716500000001</v>
      </c>
      <c r="K300">
        <f t="shared" si="25"/>
        <v>0.41986989200000124</v>
      </c>
      <c r="P300">
        <f t="shared" si="26"/>
        <v>1.4134480174825534E-2</v>
      </c>
      <c r="Q300">
        <f t="shared" si="28"/>
        <v>1.2884694657714324E-2</v>
      </c>
    </row>
    <row r="301" spans="1:17" x14ac:dyDescent="0.2">
      <c r="A301" s="1">
        <v>41574</v>
      </c>
      <c r="B301" s="2">
        <f t="shared" si="29"/>
        <v>91</v>
      </c>
      <c r="C301">
        <v>29.285495059999999</v>
      </c>
      <c r="D301">
        <v>0</v>
      </c>
      <c r="E301">
        <v>5.6830242269999998</v>
      </c>
      <c r="F301">
        <v>23.567852819999999</v>
      </c>
      <c r="G301">
        <v>11.963812020000001</v>
      </c>
      <c r="H301">
        <v>0</v>
      </c>
      <c r="I301">
        <f t="shared" si="24"/>
        <v>23.602470832999998</v>
      </c>
      <c r="J301">
        <f t="shared" si="27"/>
        <v>29.285495059999999</v>
      </c>
      <c r="K301">
        <f t="shared" si="25"/>
        <v>3.4618012999999337E-2</v>
      </c>
      <c r="P301">
        <f t="shared" si="26"/>
        <v>1.466711398350628E-3</v>
      </c>
      <c r="Q301">
        <f t="shared" si="28"/>
        <v>1.1820873415004287E-3</v>
      </c>
    </row>
    <row r="302" spans="1:17" x14ac:dyDescent="0.2">
      <c r="A302" s="1">
        <v>41575</v>
      </c>
      <c r="B302" s="2">
        <f t="shared" si="29"/>
        <v>92</v>
      </c>
      <c r="C302">
        <v>23.567852819999999</v>
      </c>
      <c r="D302">
        <v>21.1</v>
      </c>
      <c r="E302">
        <v>1.4122193540000001</v>
      </c>
      <c r="F302">
        <v>43.246146869999997</v>
      </c>
      <c r="G302">
        <v>11.925239639999999</v>
      </c>
      <c r="H302">
        <v>0</v>
      </c>
      <c r="I302">
        <f t="shared" si="24"/>
        <v>43.255633465999999</v>
      </c>
      <c r="J302">
        <f t="shared" si="27"/>
        <v>44.66785282</v>
      </c>
      <c r="K302">
        <f t="shared" si="25"/>
        <v>9.4865960000021232E-3</v>
      </c>
      <c r="P302">
        <f t="shared" si="26"/>
        <v>2.1931469359843782E-4</v>
      </c>
      <c r="Q302">
        <f t="shared" si="28"/>
        <v>2.1238083769619897E-4</v>
      </c>
    </row>
    <row r="303" spans="1:17" x14ac:dyDescent="0.2">
      <c r="A303" s="1">
        <v>41576</v>
      </c>
      <c r="B303" s="2">
        <f t="shared" si="29"/>
        <v>92</v>
      </c>
      <c r="C303">
        <v>43.246146869999997</v>
      </c>
      <c r="D303">
        <v>0</v>
      </c>
      <c r="E303">
        <v>4.6610288549999996</v>
      </c>
      <c r="F303">
        <v>37.471294589999999</v>
      </c>
      <c r="G303">
        <v>9.9313872280000002</v>
      </c>
      <c r="H303">
        <v>0</v>
      </c>
      <c r="I303">
        <f t="shared" si="24"/>
        <v>38.585118014999999</v>
      </c>
      <c r="J303">
        <f t="shared" si="27"/>
        <v>43.246146869999997</v>
      </c>
      <c r="K303">
        <f t="shared" si="25"/>
        <v>1.1138234249999996</v>
      </c>
      <c r="P303">
        <f t="shared" si="26"/>
        <v>2.8866658502042154E-2</v>
      </c>
      <c r="Q303">
        <f t="shared" si="28"/>
        <v>2.5755437319033452E-2</v>
      </c>
    </row>
    <row r="304" spans="1:17" x14ac:dyDescent="0.2">
      <c r="A304" s="1">
        <v>41577</v>
      </c>
      <c r="B304" s="2">
        <f t="shared" si="29"/>
        <v>92</v>
      </c>
      <c r="C304">
        <v>37.471294589999999</v>
      </c>
      <c r="D304">
        <v>0</v>
      </c>
      <c r="E304">
        <v>3.457715941</v>
      </c>
      <c r="F304">
        <v>33.65633776</v>
      </c>
      <c r="G304">
        <v>11.99316046</v>
      </c>
      <c r="H304">
        <v>0</v>
      </c>
      <c r="I304">
        <f t="shared" si="24"/>
        <v>34.013578648999996</v>
      </c>
      <c r="J304">
        <f t="shared" si="27"/>
        <v>37.471294589999999</v>
      </c>
      <c r="K304">
        <f t="shared" si="25"/>
        <v>0.35724088899999629</v>
      </c>
      <c r="P304">
        <f t="shared" si="26"/>
        <v>1.0502890409930424E-2</v>
      </c>
      <c r="Q304">
        <f t="shared" si="28"/>
        <v>9.533721556963061E-3</v>
      </c>
    </row>
    <row r="305" spans="1:17" x14ac:dyDescent="0.2">
      <c r="A305" s="1">
        <v>41578</v>
      </c>
      <c r="B305" s="2">
        <f t="shared" si="29"/>
        <v>92</v>
      </c>
      <c r="C305">
        <v>33.65633776</v>
      </c>
      <c r="D305">
        <v>0</v>
      </c>
      <c r="E305">
        <v>4.6419804080000002</v>
      </c>
      <c r="F305">
        <v>29.0114631</v>
      </c>
      <c r="G305">
        <v>11.97839211</v>
      </c>
      <c r="H305">
        <v>0</v>
      </c>
      <c r="I305">
        <f t="shared" si="24"/>
        <v>29.014357351999998</v>
      </c>
      <c r="J305">
        <f t="shared" si="27"/>
        <v>33.65633776</v>
      </c>
      <c r="K305">
        <f t="shared" si="25"/>
        <v>2.894251999997266E-3</v>
      </c>
      <c r="P305">
        <f t="shared" si="26"/>
        <v>9.9752407571341968E-5</v>
      </c>
      <c r="Q305">
        <f t="shared" si="28"/>
        <v>8.5994264160167675E-5</v>
      </c>
    </row>
    <row r="306" spans="1:17" x14ac:dyDescent="0.2">
      <c r="A306" s="1">
        <v>41579</v>
      </c>
      <c r="B306" s="2">
        <f t="shared" si="29"/>
        <v>92</v>
      </c>
      <c r="C306">
        <v>29.0114631</v>
      </c>
      <c r="D306">
        <v>0</v>
      </c>
      <c r="E306">
        <v>3.9238192980000002</v>
      </c>
      <c r="F306">
        <v>25.087491069999999</v>
      </c>
      <c r="G306">
        <v>11.92762731</v>
      </c>
      <c r="H306">
        <v>0</v>
      </c>
      <c r="I306">
        <f t="shared" si="24"/>
        <v>25.087643801999999</v>
      </c>
      <c r="J306">
        <f t="shared" si="27"/>
        <v>29.0114631</v>
      </c>
      <c r="K306">
        <f t="shared" si="25"/>
        <v>1.5273200000009979E-4</v>
      </c>
      <c r="P306">
        <f t="shared" si="26"/>
        <v>6.0879372014969343E-6</v>
      </c>
      <c r="Q306">
        <f t="shared" si="28"/>
        <v>5.2645397260264271E-6</v>
      </c>
    </row>
    <row r="307" spans="1:17" x14ac:dyDescent="0.2">
      <c r="A307" s="1">
        <v>41580</v>
      </c>
      <c r="B307" s="2">
        <f t="shared" si="29"/>
        <v>92</v>
      </c>
      <c r="C307">
        <v>25.087491069999999</v>
      </c>
      <c r="D307">
        <v>0</v>
      </c>
      <c r="E307">
        <v>3.1188092350000001</v>
      </c>
      <c r="F307">
        <v>21.705573529999999</v>
      </c>
      <c r="G307">
        <v>11.973733729999999</v>
      </c>
      <c r="H307">
        <v>0</v>
      </c>
      <c r="I307">
        <f t="shared" si="24"/>
        <v>21.968681834999998</v>
      </c>
      <c r="J307">
        <f t="shared" si="27"/>
        <v>25.087491069999999</v>
      </c>
      <c r="K307">
        <f t="shared" si="25"/>
        <v>0.26310830499999938</v>
      </c>
      <c r="P307">
        <f t="shared" si="26"/>
        <v>1.1976517616128488E-2</v>
      </c>
      <c r="Q307">
        <f t="shared" si="28"/>
        <v>1.0487629243827745E-2</v>
      </c>
    </row>
    <row r="308" spans="1:17" x14ac:dyDescent="0.2">
      <c r="A308" s="1">
        <v>41581</v>
      </c>
      <c r="B308" s="2">
        <f t="shared" si="29"/>
        <v>92</v>
      </c>
      <c r="C308">
        <v>21.705573529999999</v>
      </c>
      <c r="D308">
        <v>0</v>
      </c>
      <c r="E308">
        <v>1.159162295</v>
      </c>
      <c r="F308">
        <v>20.244816480000001</v>
      </c>
      <c r="G308">
        <v>11.96737654</v>
      </c>
      <c r="H308">
        <v>0</v>
      </c>
      <c r="I308">
        <f t="shared" si="24"/>
        <v>20.546411234999997</v>
      </c>
      <c r="J308">
        <f t="shared" si="27"/>
        <v>21.705573529999999</v>
      </c>
      <c r="K308">
        <f t="shared" si="25"/>
        <v>0.30159475499999644</v>
      </c>
      <c r="P308">
        <f t="shared" si="26"/>
        <v>1.4678707222906243E-2</v>
      </c>
      <c r="Q308">
        <f t="shared" si="28"/>
        <v>1.3894806998909853E-2</v>
      </c>
    </row>
    <row r="309" spans="1:17" x14ac:dyDescent="0.2">
      <c r="A309" s="1">
        <v>41582</v>
      </c>
      <c r="B309" s="2">
        <f t="shared" si="29"/>
        <v>92</v>
      </c>
      <c r="C309">
        <v>20.244816480000001</v>
      </c>
      <c r="D309">
        <v>0</v>
      </c>
      <c r="E309">
        <v>1.812735534</v>
      </c>
      <c r="F309">
        <v>18.431985180000002</v>
      </c>
      <c r="G309">
        <v>12.0047674</v>
      </c>
      <c r="H309">
        <v>0</v>
      </c>
      <c r="I309">
        <f t="shared" si="24"/>
        <v>18.432080945999999</v>
      </c>
      <c r="J309">
        <f t="shared" si="27"/>
        <v>20.244816480000001</v>
      </c>
      <c r="K309">
        <f t="shared" si="25"/>
        <v>9.5765999997610152E-5</v>
      </c>
      <c r="P309">
        <f t="shared" si="26"/>
        <v>5.1956152036318299E-6</v>
      </c>
      <c r="Q309">
        <f t="shared" si="28"/>
        <v>4.7303960543291696E-6</v>
      </c>
    </row>
    <row r="310" spans="1:17" x14ac:dyDescent="0.2">
      <c r="A310" s="1">
        <v>41583</v>
      </c>
      <c r="B310" s="2">
        <f t="shared" si="29"/>
        <v>92</v>
      </c>
      <c r="C310">
        <v>18.431985180000002</v>
      </c>
      <c r="D310">
        <v>0</v>
      </c>
      <c r="E310">
        <v>1.379297875</v>
      </c>
      <c r="F310">
        <v>16.545161929999999</v>
      </c>
      <c r="G310">
        <v>11.98459615</v>
      </c>
      <c r="H310">
        <v>0</v>
      </c>
      <c r="I310">
        <f t="shared" si="24"/>
        <v>17.052687305000003</v>
      </c>
      <c r="J310">
        <f t="shared" si="27"/>
        <v>18.431985180000002</v>
      </c>
      <c r="K310">
        <f t="shared" si="25"/>
        <v>0.50752537500000372</v>
      </c>
      <c r="P310">
        <f t="shared" si="26"/>
        <v>2.9762193249810703E-2</v>
      </c>
      <c r="Q310">
        <f t="shared" si="28"/>
        <v>2.7535035973808422E-2</v>
      </c>
    </row>
    <row r="311" spans="1:17" x14ac:dyDescent="0.2">
      <c r="A311" s="1">
        <v>41584</v>
      </c>
      <c r="B311" s="2">
        <f t="shared" si="29"/>
        <v>92</v>
      </c>
      <c r="C311">
        <v>16.545161929999999</v>
      </c>
      <c r="D311">
        <v>0</v>
      </c>
      <c r="E311">
        <v>3.1296564760000001</v>
      </c>
      <c r="F311">
        <v>13.36774065</v>
      </c>
      <c r="G311">
        <v>12.65256686</v>
      </c>
      <c r="H311">
        <v>0</v>
      </c>
      <c r="I311">
        <f t="shared" si="24"/>
        <v>13.415505453999998</v>
      </c>
      <c r="J311">
        <f t="shared" si="27"/>
        <v>16.545161929999999</v>
      </c>
      <c r="K311">
        <f t="shared" si="25"/>
        <v>4.7764803999998051E-2</v>
      </c>
      <c r="P311">
        <f t="shared" si="26"/>
        <v>3.5604177691088328E-3</v>
      </c>
      <c r="Q311">
        <f t="shared" si="28"/>
        <v>2.8869348152700766E-3</v>
      </c>
    </row>
    <row r="312" spans="1:17" x14ac:dyDescent="0.2">
      <c r="A312" s="1">
        <v>41585</v>
      </c>
      <c r="B312" s="2">
        <f t="shared" si="29"/>
        <v>93</v>
      </c>
      <c r="C312">
        <v>13.36774065</v>
      </c>
      <c r="D312">
        <v>6.2</v>
      </c>
      <c r="E312">
        <v>1.5537708079999999</v>
      </c>
      <c r="F312">
        <v>18.013713729999999</v>
      </c>
      <c r="G312">
        <v>13.146152819999999</v>
      </c>
      <c r="H312">
        <v>0</v>
      </c>
      <c r="I312">
        <f t="shared" si="24"/>
        <v>18.013969842000002</v>
      </c>
      <c r="J312">
        <f t="shared" si="27"/>
        <v>19.567740650000001</v>
      </c>
      <c r="K312">
        <f t="shared" si="25"/>
        <v>2.5611200000241752E-4</v>
      </c>
      <c r="P312">
        <f t="shared" si="26"/>
        <v>1.4217410279287038E-5</v>
      </c>
      <c r="Q312">
        <f t="shared" si="28"/>
        <v>1.3088480912711683E-5</v>
      </c>
    </row>
    <row r="313" spans="1:17" x14ac:dyDescent="0.2">
      <c r="A313" s="1">
        <v>41586</v>
      </c>
      <c r="B313" s="2">
        <f t="shared" si="29"/>
        <v>93</v>
      </c>
      <c r="C313">
        <v>18.013713729999999</v>
      </c>
      <c r="D313">
        <v>0</v>
      </c>
      <c r="E313">
        <v>0.63258317900000005</v>
      </c>
      <c r="F313">
        <v>17.368753600000002</v>
      </c>
      <c r="G313">
        <v>13.167842609999999</v>
      </c>
      <c r="H313">
        <v>0</v>
      </c>
      <c r="I313">
        <f t="shared" si="24"/>
        <v>17.381130550999998</v>
      </c>
      <c r="J313">
        <f t="shared" si="27"/>
        <v>18.013713729999999</v>
      </c>
      <c r="K313">
        <f t="shared" si="25"/>
        <v>1.2376950999996694E-2</v>
      </c>
      <c r="P313">
        <f t="shared" si="26"/>
        <v>7.1209125112316727E-4</v>
      </c>
      <c r="Q313">
        <f t="shared" si="28"/>
        <v>6.8708491683112222E-4</v>
      </c>
    </row>
    <row r="314" spans="1:17" x14ac:dyDescent="0.2">
      <c r="A314" s="1">
        <v>41587</v>
      </c>
      <c r="B314" s="2">
        <f t="shared" si="29"/>
        <v>93</v>
      </c>
      <c r="C314">
        <v>17.368753600000002</v>
      </c>
      <c r="D314">
        <v>0</v>
      </c>
      <c r="E314">
        <v>2.289597949</v>
      </c>
      <c r="F314">
        <v>15.07739061</v>
      </c>
      <c r="G314">
        <v>13.203686360000001</v>
      </c>
      <c r="H314">
        <v>0</v>
      </c>
      <c r="I314">
        <f t="shared" si="24"/>
        <v>15.079155651000001</v>
      </c>
      <c r="J314">
        <f t="shared" si="27"/>
        <v>17.368753600000002</v>
      </c>
      <c r="K314">
        <f t="shared" si="25"/>
        <v>1.7650410000005223E-3</v>
      </c>
      <c r="P314">
        <f t="shared" si="26"/>
        <v>1.1705171303032943E-4</v>
      </c>
      <c r="Q314">
        <f t="shared" si="28"/>
        <v>1.0162162701188428E-4</v>
      </c>
    </row>
    <row r="315" spans="1:17" x14ac:dyDescent="0.2">
      <c r="A315" s="1">
        <v>41588</v>
      </c>
      <c r="B315" s="2">
        <f t="shared" si="29"/>
        <v>93</v>
      </c>
      <c r="C315">
        <v>15.07739061</v>
      </c>
      <c r="D315">
        <v>0</v>
      </c>
      <c r="E315">
        <v>1.5699855330000001</v>
      </c>
      <c r="F315">
        <v>13.47082515</v>
      </c>
      <c r="G315">
        <v>13.11793484</v>
      </c>
      <c r="H315">
        <v>0</v>
      </c>
      <c r="I315">
        <f t="shared" si="24"/>
        <v>13.507405077</v>
      </c>
      <c r="J315">
        <f t="shared" si="27"/>
        <v>15.07739061</v>
      </c>
      <c r="K315">
        <f t="shared" si="25"/>
        <v>3.6579927000000012E-2</v>
      </c>
      <c r="P315">
        <f t="shared" si="26"/>
        <v>2.70813874252481E-3</v>
      </c>
      <c r="Q315">
        <f t="shared" si="28"/>
        <v>2.4261444135922675E-3</v>
      </c>
    </row>
    <row r="316" spans="1:17" x14ac:dyDescent="0.2">
      <c r="A316" s="1">
        <v>41589</v>
      </c>
      <c r="B316" s="2">
        <f t="shared" si="29"/>
        <v>93</v>
      </c>
      <c r="C316">
        <v>13.47082515</v>
      </c>
      <c r="D316">
        <v>0</v>
      </c>
      <c r="E316">
        <v>3.2940636350000001</v>
      </c>
      <c r="F316">
        <v>10.17675038</v>
      </c>
      <c r="G316">
        <v>13.12795085</v>
      </c>
      <c r="H316">
        <v>0</v>
      </c>
      <c r="I316">
        <f t="shared" si="24"/>
        <v>10.176761514999999</v>
      </c>
      <c r="J316">
        <f t="shared" si="27"/>
        <v>13.47082515</v>
      </c>
      <c r="K316">
        <f t="shared" si="25"/>
        <v>1.1134999999384831E-5</v>
      </c>
      <c r="P316">
        <f t="shared" si="26"/>
        <v>1.0941594713576064E-6</v>
      </c>
      <c r="Q316">
        <f t="shared" si="28"/>
        <v>8.266011825849311E-7</v>
      </c>
    </row>
    <row r="317" spans="1:17" x14ac:dyDescent="0.2">
      <c r="A317" s="1">
        <v>41590</v>
      </c>
      <c r="B317" s="2">
        <f t="shared" si="29"/>
        <v>93</v>
      </c>
      <c r="C317">
        <v>10.17675038</v>
      </c>
      <c r="D317">
        <v>0</v>
      </c>
      <c r="E317">
        <v>2.9725167849999998</v>
      </c>
      <c r="F317">
        <v>7.1523392719999999</v>
      </c>
      <c r="G317">
        <v>13.1328786</v>
      </c>
      <c r="H317">
        <v>0</v>
      </c>
      <c r="I317">
        <f t="shared" si="24"/>
        <v>7.2042335949999998</v>
      </c>
      <c r="J317">
        <f t="shared" si="27"/>
        <v>10.17675038</v>
      </c>
      <c r="K317">
        <f t="shared" si="25"/>
        <v>5.1894322999999964E-2</v>
      </c>
      <c r="P317">
        <f t="shared" si="26"/>
        <v>7.2033093202331071E-3</v>
      </c>
      <c r="Q317">
        <f t="shared" si="28"/>
        <v>5.0993019443599606E-3</v>
      </c>
    </row>
    <row r="318" spans="1:17" x14ac:dyDescent="0.2">
      <c r="A318" s="1">
        <v>41591</v>
      </c>
      <c r="B318" s="2">
        <f t="shared" si="29"/>
        <v>94</v>
      </c>
      <c r="C318">
        <v>7.1523392719999999</v>
      </c>
      <c r="D318">
        <v>22.8</v>
      </c>
      <c r="E318">
        <v>0.90617674999999998</v>
      </c>
      <c r="F318">
        <v>29.046152419999999</v>
      </c>
      <c r="G318">
        <v>13.14873886</v>
      </c>
      <c r="H318">
        <v>0</v>
      </c>
      <c r="I318">
        <f t="shared" si="24"/>
        <v>29.046162521999999</v>
      </c>
      <c r="J318">
        <f t="shared" si="27"/>
        <v>29.952339272</v>
      </c>
      <c r="K318">
        <f t="shared" si="25"/>
        <v>1.0102000000955513E-5</v>
      </c>
      <c r="P318">
        <f t="shared" si="26"/>
        <v>3.4779120970985777E-7</v>
      </c>
      <c r="Q318">
        <f t="shared" si="28"/>
        <v>3.3726914980557295E-7</v>
      </c>
    </row>
    <row r="319" spans="1:17" x14ac:dyDescent="0.2">
      <c r="A319" s="1">
        <v>41592</v>
      </c>
      <c r="B319" s="2">
        <f t="shared" si="29"/>
        <v>94</v>
      </c>
      <c r="C319">
        <v>29.046152419999999</v>
      </c>
      <c r="D319">
        <v>0</v>
      </c>
      <c r="E319">
        <v>1.1753420109999999</v>
      </c>
      <c r="F319">
        <v>27.870800209999999</v>
      </c>
      <c r="G319">
        <v>13.189703639999999</v>
      </c>
      <c r="H319">
        <v>0</v>
      </c>
      <c r="I319">
        <f t="shared" si="24"/>
        <v>27.870810408999997</v>
      </c>
      <c r="J319">
        <f t="shared" si="27"/>
        <v>29.046152419999999</v>
      </c>
      <c r="K319">
        <f t="shared" si="25"/>
        <v>1.0198999998323188E-5</v>
      </c>
      <c r="P319">
        <f t="shared" si="26"/>
        <v>3.6593840827210907E-7</v>
      </c>
      <c r="Q319">
        <f t="shared" si="28"/>
        <v>3.5113084345383288E-7</v>
      </c>
    </row>
    <row r="320" spans="1:17" x14ac:dyDescent="0.2">
      <c r="A320" s="1">
        <v>41593</v>
      </c>
      <c r="B320" s="2">
        <f t="shared" si="29"/>
        <v>94</v>
      </c>
      <c r="C320">
        <v>27.870800209999999</v>
      </c>
      <c r="D320">
        <v>0</v>
      </c>
      <c r="E320">
        <v>0.218437357</v>
      </c>
      <c r="F320">
        <v>26.58623785</v>
      </c>
      <c r="G320">
        <v>13.20424944</v>
      </c>
      <c r="H320">
        <v>0</v>
      </c>
      <c r="I320">
        <f t="shared" si="24"/>
        <v>27.652362853</v>
      </c>
      <c r="J320">
        <f t="shared" si="27"/>
        <v>27.870800209999999</v>
      </c>
      <c r="K320">
        <f t="shared" si="25"/>
        <v>1.0661250029999998</v>
      </c>
      <c r="P320">
        <f t="shared" si="26"/>
        <v>3.8554571581008168E-2</v>
      </c>
      <c r="Q320">
        <f t="shared" si="28"/>
        <v>3.825240018108543E-2</v>
      </c>
    </row>
    <row r="321" spans="1:17" x14ac:dyDescent="0.2">
      <c r="A321" s="1">
        <v>41594</v>
      </c>
      <c r="B321" s="2">
        <f t="shared" si="29"/>
        <v>94</v>
      </c>
      <c r="C321">
        <v>26.58623785</v>
      </c>
      <c r="D321">
        <v>0</v>
      </c>
      <c r="E321">
        <v>1.5648574790000001</v>
      </c>
      <c r="F321">
        <v>25.007239980000001</v>
      </c>
      <c r="G321">
        <v>13.121421870000001</v>
      </c>
      <c r="H321">
        <v>0</v>
      </c>
      <c r="I321">
        <f t="shared" si="24"/>
        <v>25.021380370999999</v>
      </c>
      <c r="J321">
        <f t="shared" si="27"/>
        <v>26.58623785</v>
      </c>
      <c r="K321">
        <f t="shared" si="25"/>
        <v>1.4140390999997976E-2</v>
      </c>
      <c r="P321">
        <f t="shared" si="26"/>
        <v>5.6513233044435925E-4</v>
      </c>
      <c r="Q321">
        <f t="shared" si="28"/>
        <v>5.3186882174824054E-4</v>
      </c>
    </row>
    <row r="322" spans="1:17" x14ac:dyDescent="0.2">
      <c r="A322" s="1">
        <v>41595</v>
      </c>
      <c r="B322" s="2">
        <f t="shared" si="29"/>
        <v>94</v>
      </c>
      <c r="C322">
        <v>25.007239980000001</v>
      </c>
      <c r="D322">
        <v>0</v>
      </c>
      <c r="E322">
        <v>1.4258553140000001</v>
      </c>
      <c r="F322">
        <v>23.548821230000001</v>
      </c>
      <c r="G322">
        <v>13.15448323</v>
      </c>
      <c r="H322">
        <v>0</v>
      </c>
      <c r="I322">
        <f t="shared" ref="I322:I366" si="30">C322+D322-E322</f>
        <v>23.581384666000002</v>
      </c>
      <c r="J322">
        <f t="shared" si="27"/>
        <v>25.007239980000001</v>
      </c>
      <c r="K322">
        <f t="shared" ref="K322:K366" si="31">I322-F322</f>
        <v>3.2563436000000223E-2</v>
      </c>
      <c r="P322">
        <f t="shared" ref="P322:P366" si="32">K322/I322</f>
        <v>1.3808958405631998E-3</v>
      </c>
      <c r="Q322">
        <f t="shared" si="28"/>
        <v>1.3021603354086027E-3</v>
      </c>
    </row>
    <row r="323" spans="1:17" x14ac:dyDescent="0.2">
      <c r="A323" s="1">
        <v>41596</v>
      </c>
      <c r="B323" s="2">
        <f t="shared" si="29"/>
        <v>94</v>
      </c>
      <c r="C323">
        <v>23.548821230000001</v>
      </c>
      <c r="D323">
        <v>0</v>
      </c>
      <c r="E323">
        <v>1.788970462</v>
      </c>
      <c r="F323">
        <v>21.38067345</v>
      </c>
      <c r="G323">
        <v>13.153525480000001</v>
      </c>
      <c r="H323">
        <v>0</v>
      </c>
      <c r="I323">
        <f t="shared" si="30"/>
        <v>21.759850768</v>
      </c>
      <c r="J323">
        <f t="shared" ref="J323:J366" si="33">C323+D323</f>
        <v>23.548821230000001</v>
      </c>
      <c r="K323">
        <f t="shared" si="31"/>
        <v>0.37917731799999999</v>
      </c>
      <c r="P323">
        <f t="shared" si="32"/>
        <v>1.7425547722855594E-2</v>
      </c>
      <c r="Q323">
        <f t="shared" ref="Q323:Q366" si="34">K323/J323</f>
        <v>1.6101753641789396E-2</v>
      </c>
    </row>
    <row r="324" spans="1:17" x14ac:dyDescent="0.2">
      <c r="A324" s="1">
        <v>41597</v>
      </c>
      <c r="B324" s="2">
        <f t="shared" ref="B324:B366" si="35">IF(D324&gt;0,B323+1,B323)</f>
        <v>94</v>
      </c>
      <c r="C324">
        <v>21.38067345</v>
      </c>
      <c r="D324">
        <v>0</v>
      </c>
      <c r="E324">
        <v>0.68919054199999996</v>
      </c>
      <c r="F324">
        <v>20.4023556</v>
      </c>
      <c r="G324">
        <v>13.140368260000001</v>
      </c>
      <c r="H324">
        <v>0</v>
      </c>
      <c r="I324">
        <f t="shared" si="30"/>
        <v>20.691482908000001</v>
      </c>
      <c r="J324">
        <f t="shared" si="33"/>
        <v>21.38067345</v>
      </c>
      <c r="K324">
        <f t="shared" si="31"/>
        <v>0.28912730800000119</v>
      </c>
      <c r="P324">
        <f t="shared" si="32"/>
        <v>1.3973252148506725E-2</v>
      </c>
      <c r="Q324">
        <f t="shared" si="34"/>
        <v>1.3522834473672821E-2</v>
      </c>
    </row>
    <row r="325" spans="1:17" x14ac:dyDescent="0.2">
      <c r="A325" s="1">
        <v>41598</v>
      </c>
      <c r="B325" s="2">
        <f t="shared" si="35"/>
        <v>94</v>
      </c>
      <c r="C325">
        <v>20.4023556</v>
      </c>
      <c r="D325">
        <v>0</v>
      </c>
      <c r="E325">
        <v>1.0130110379999999</v>
      </c>
      <c r="F325">
        <v>18.917037109999999</v>
      </c>
      <c r="G325">
        <v>12.05490108</v>
      </c>
      <c r="H325">
        <v>0</v>
      </c>
      <c r="I325">
        <f t="shared" si="30"/>
        <v>19.389344562000002</v>
      </c>
      <c r="J325">
        <f t="shared" si="33"/>
        <v>20.4023556</v>
      </c>
      <c r="K325">
        <f t="shared" si="31"/>
        <v>0.47230745200000257</v>
      </c>
      <c r="P325">
        <f t="shared" si="32"/>
        <v>2.435912418234339E-2</v>
      </c>
      <c r="Q325">
        <f t="shared" si="34"/>
        <v>2.3149652974385104E-2</v>
      </c>
    </row>
    <row r="326" spans="1:17" x14ac:dyDescent="0.2">
      <c r="A326" s="1">
        <v>41599</v>
      </c>
      <c r="B326" s="2">
        <f t="shared" si="35"/>
        <v>94</v>
      </c>
      <c r="C326">
        <v>18.917037109999999</v>
      </c>
      <c r="D326">
        <v>0</v>
      </c>
      <c r="E326">
        <v>1.989106869</v>
      </c>
      <c r="F326">
        <v>16.920577430000002</v>
      </c>
      <c r="G326">
        <v>13.172275519999999</v>
      </c>
      <c r="H326">
        <v>0</v>
      </c>
      <c r="I326">
        <f t="shared" si="30"/>
        <v>16.927930240999999</v>
      </c>
      <c r="J326">
        <f t="shared" si="33"/>
        <v>18.917037109999999</v>
      </c>
      <c r="K326">
        <f t="shared" si="31"/>
        <v>7.3528109999969615E-3</v>
      </c>
      <c r="P326">
        <f t="shared" si="32"/>
        <v>4.343597176569297E-4</v>
      </c>
      <c r="Q326">
        <f t="shared" si="34"/>
        <v>3.8868724299906827E-4</v>
      </c>
    </row>
    <row r="327" spans="1:17" x14ac:dyDescent="0.2">
      <c r="A327" s="1">
        <v>41600</v>
      </c>
      <c r="B327" s="2">
        <f t="shared" si="35"/>
        <v>94</v>
      </c>
      <c r="C327">
        <v>16.920577430000002</v>
      </c>
      <c r="D327">
        <v>0</v>
      </c>
      <c r="E327">
        <v>1.8399649170000001</v>
      </c>
      <c r="F327">
        <v>15.080439370000001</v>
      </c>
      <c r="G327">
        <v>13.14513679</v>
      </c>
      <c r="H327">
        <v>0</v>
      </c>
      <c r="I327">
        <f t="shared" si="30"/>
        <v>15.080612513000002</v>
      </c>
      <c r="J327">
        <f t="shared" si="33"/>
        <v>16.920577430000002</v>
      </c>
      <c r="K327">
        <f t="shared" si="31"/>
        <v>1.731430000013745E-4</v>
      </c>
      <c r="P327">
        <f t="shared" si="32"/>
        <v>1.1481164962770532E-5</v>
      </c>
      <c r="Q327">
        <f t="shared" si="34"/>
        <v>1.0232688613474493E-5</v>
      </c>
    </row>
    <row r="328" spans="1:17" x14ac:dyDescent="0.2">
      <c r="A328" s="1">
        <v>41601</v>
      </c>
      <c r="B328" s="2">
        <f t="shared" si="35"/>
        <v>94</v>
      </c>
      <c r="C328">
        <v>15.080439370000001</v>
      </c>
      <c r="D328">
        <v>0</v>
      </c>
      <c r="E328">
        <v>0.83261359899999998</v>
      </c>
      <c r="F328">
        <v>14.247632400000001</v>
      </c>
      <c r="G328">
        <v>13.16183959</v>
      </c>
      <c r="H328">
        <v>0</v>
      </c>
      <c r="I328">
        <f t="shared" si="30"/>
        <v>14.247825771</v>
      </c>
      <c r="J328">
        <f t="shared" si="33"/>
        <v>15.080439370000001</v>
      </c>
      <c r="K328">
        <f t="shared" si="31"/>
        <v>1.9337099999994223E-4</v>
      </c>
      <c r="P328">
        <f t="shared" si="32"/>
        <v>1.3571965513048961E-5</v>
      </c>
      <c r="Q328">
        <f t="shared" si="34"/>
        <v>1.2822637010472078E-5</v>
      </c>
    </row>
    <row r="329" spans="1:17" x14ac:dyDescent="0.2">
      <c r="A329" s="1">
        <v>41602</v>
      </c>
      <c r="B329" s="2">
        <f t="shared" si="35"/>
        <v>94</v>
      </c>
      <c r="C329">
        <v>14.247632400000001</v>
      </c>
      <c r="D329">
        <v>0</v>
      </c>
      <c r="E329">
        <v>1.7005947969999999</v>
      </c>
      <c r="F329">
        <v>11.9685834</v>
      </c>
      <c r="G329">
        <v>13.11444964</v>
      </c>
      <c r="H329">
        <v>0</v>
      </c>
      <c r="I329">
        <f t="shared" si="30"/>
        <v>12.547037603</v>
      </c>
      <c r="J329">
        <f t="shared" si="33"/>
        <v>14.247632400000001</v>
      </c>
      <c r="K329">
        <f t="shared" si="31"/>
        <v>0.57845420299999972</v>
      </c>
      <c r="P329">
        <f t="shared" si="32"/>
        <v>4.6102850832430056E-2</v>
      </c>
      <c r="Q329">
        <f t="shared" si="34"/>
        <v>4.0600022990486456E-2</v>
      </c>
    </row>
    <row r="330" spans="1:17" x14ac:dyDescent="0.2">
      <c r="A330" s="1">
        <v>41603</v>
      </c>
      <c r="B330" s="2">
        <f t="shared" si="35"/>
        <v>95</v>
      </c>
      <c r="C330">
        <v>11.9685834</v>
      </c>
      <c r="D330">
        <v>23</v>
      </c>
      <c r="E330">
        <v>4.4687740399999996</v>
      </c>
      <c r="F330">
        <v>28.658457030000001</v>
      </c>
      <c r="G330">
        <v>15.20604397</v>
      </c>
      <c r="H330">
        <v>1</v>
      </c>
      <c r="I330">
        <f t="shared" si="30"/>
        <v>30.49980936</v>
      </c>
      <c r="J330">
        <f t="shared" si="33"/>
        <v>34.9685834</v>
      </c>
      <c r="K330">
        <f t="shared" si="31"/>
        <v>1.8413523299999994</v>
      </c>
      <c r="P330">
        <f t="shared" si="32"/>
        <v>6.0372584899330645E-2</v>
      </c>
      <c r="Q330">
        <f t="shared" si="34"/>
        <v>5.2657332695953574E-2</v>
      </c>
    </row>
    <row r="331" spans="1:17" x14ac:dyDescent="0.2">
      <c r="A331" s="1">
        <v>41604</v>
      </c>
      <c r="B331" s="2">
        <f t="shared" si="35"/>
        <v>95</v>
      </c>
      <c r="C331">
        <v>28.658457030000001</v>
      </c>
      <c r="D331">
        <v>0</v>
      </c>
      <c r="E331">
        <v>3.5863669840000001</v>
      </c>
      <c r="F331">
        <v>24.806468339999999</v>
      </c>
      <c r="G331">
        <v>15.12112434</v>
      </c>
      <c r="H331">
        <v>1</v>
      </c>
      <c r="I331">
        <f t="shared" si="30"/>
        <v>25.072090046</v>
      </c>
      <c r="J331">
        <f t="shared" si="33"/>
        <v>28.658457030000001</v>
      </c>
      <c r="K331">
        <f t="shared" si="31"/>
        <v>0.26562170600000101</v>
      </c>
      <c r="P331">
        <f t="shared" si="32"/>
        <v>1.0594318443841833E-2</v>
      </c>
      <c r="Q331">
        <f t="shared" si="34"/>
        <v>9.2685278108987218E-3</v>
      </c>
    </row>
    <row r="332" spans="1:17" x14ac:dyDescent="0.2">
      <c r="A332" s="1">
        <v>41605</v>
      </c>
      <c r="B332" s="2">
        <f t="shared" si="35"/>
        <v>95</v>
      </c>
      <c r="C332">
        <v>24.806468339999999</v>
      </c>
      <c r="D332">
        <v>0</v>
      </c>
      <c r="E332">
        <v>5.1628204000000002</v>
      </c>
      <c r="F332">
        <v>18.73037665</v>
      </c>
      <c r="G332">
        <v>15.120341099999999</v>
      </c>
      <c r="H332">
        <v>1</v>
      </c>
      <c r="I332">
        <f t="shared" si="30"/>
        <v>19.643647939999997</v>
      </c>
      <c r="J332">
        <f t="shared" si="33"/>
        <v>24.806468339999999</v>
      </c>
      <c r="K332">
        <f t="shared" si="31"/>
        <v>0.91327128999999729</v>
      </c>
      <c r="P332">
        <f t="shared" si="32"/>
        <v>4.6491939419272515E-2</v>
      </c>
      <c r="Q332">
        <f t="shared" si="34"/>
        <v>3.6815852925237376E-2</v>
      </c>
    </row>
    <row r="333" spans="1:17" x14ac:dyDescent="0.2">
      <c r="A333" s="1">
        <v>41606</v>
      </c>
      <c r="B333" s="2">
        <f t="shared" si="35"/>
        <v>95</v>
      </c>
      <c r="C333">
        <v>18.73037665</v>
      </c>
      <c r="D333">
        <v>0</v>
      </c>
      <c r="E333">
        <v>3.4433169069999998</v>
      </c>
      <c r="F333">
        <v>15.10331014</v>
      </c>
      <c r="G333">
        <v>15.150316419999999</v>
      </c>
      <c r="H333">
        <v>1</v>
      </c>
      <c r="I333">
        <f t="shared" si="30"/>
        <v>15.287059743</v>
      </c>
      <c r="J333">
        <f t="shared" si="33"/>
        <v>18.73037665</v>
      </c>
      <c r="K333">
        <f t="shared" si="31"/>
        <v>0.18374960300000076</v>
      </c>
      <c r="P333">
        <f t="shared" si="32"/>
        <v>1.2019944063091686E-2</v>
      </c>
      <c r="Q333">
        <f t="shared" si="34"/>
        <v>9.8102460208668984E-3</v>
      </c>
    </row>
    <row r="334" spans="1:17" x14ac:dyDescent="0.2">
      <c r="A334" s="1">
        <v>41607</v>
      </c>
      <c r="B334" s="2">
        <f t="shared" si="35"/>
        <v>96</v>
      </c>
      <c r="C334">
        <v>15.10331014</v>
      </c>
      <c r="D334">
        <v>23.8</v>
      </c>
      <c r="E334">
        <v>8.1045977320000002</v>
      </c>
      <c r="F334">
        <v>30.290481700000001</v>
      </c>
      <c r="G334">
        <v>14.339861320000001</v>
      </c>
      <c r="H334">
        <v>1</v>
      </c>
      <c r="I334">
        <f t="shared" si="30"/>
        <v>30.798712408</v>
      </c>
      <c r="J334">
        <f t="shared" si="33"/>
        <v>38.903310140000002</v>
      </c>
      <c r="K334">
        <f t="shared" si="31"/>
        <v>0.50823070799999925</v>
      </c>
      <c r="P334">
        <f t="shared" si="32"/>
        <v>1.6501686864934841E-2</v>
      </c>
      <c r="Q334">
        <f t="shared" si="34"/>
        <v>1.3063945103155667E-2</v>
      </c>
    </row>
    <row r="335" spans="1:17" x14ac:dyDescent="0.2">
      <c r="A335" s="1">
        <v>41608</v>
      </c>
      <c r="B335" s="2">
        <f t="shared" si="35"/>
        <v>96</v>
      </c>
      <c r="C335">
        <v>30.290481700000001</v>
      </c>
      <c r="D335">
        <v>0</v>
      </c>
      <c r="E335">
        <v>2.982300204</v>
      </c>
      <c r="F335">
        <v>26.965099179999999</v>
      </c>
      <c r="G335">
        <v>15.159934679999999</v>
      </c>
      <c r="H335">
        <v>0</v>
      </c>
      <c r="I335">
        <f t="shared" si="30"/>
        <v>27.308181496</v>
      </c>
      <c r="J335">
        <f t="shared" si="33"/>
        <v>30.290481700000001</v>
      </c>
      <c r="K335">
        <f t="shared" si="31"/>
        <v>0.34308231600000028</v>
      </c>
      <c r="P335">
        <f t="shared" si="32"/>
        <v>1.2563352709892223E-2</v>
      </c>
      <c r="Q335">
        <f t="shared" si="34"/>
        <v>1.1326406737202871E-2</v>
      </c>
    </row>
    <row r="336" spans="1:17" x14ac:dyDescent="0.2">
      <c r="A336" s="1">
        <v>41609</v>
      </c>
      <c r="B336" s="2">
        <f t="shared" si="35"/>
        <v>96</v>
      </c>
      <c r="C336">
        <v>26.965099179999999</v>
      </c>
      <c r="D336">
        <v>0</v>
      </c>
      <c r="E336">
        <v>3.4806770550000001</v>
      </c>
      <c r="F336">
        <v>23.212544340000001</v>
      </c>
      <c r="G336">
        <v>15.145054500000001</v>
      </c>
      <c r="H336">
        <v>0</v>
      </c>
      <c r="I336">
        <f t="shared" si="30"/>
        <v>23.484422124999998</v>
      </c>
      <c r="J336">
        <f t="shared" si="33"/>
        <v>26.965099179999999</v>
      </c>
      <c r="K336">
        <f t="shared" si="31"/>
        <v>0.27187778499999737</v>
      </c>
      <c r="P336">
        <f t="shared" si="32"/>
        <v>1.1576941665963918E-2</v>
      </c>
      <c r="Q336">
        <f t="shared" si="34"/>
        <v>1.0082580567760306E-2</v>
      </c>
    </row>
    <row r="337" spans="1:17" x14ac:dyDescent="0.2">
      <c r="A337" s="1">
        <v>41610</v>
      </c>
      <c r="B337" s="2">
        <f t="shared" si="35"/>
        <v>96</v>
      </c>
      <c r="C337">
        <v>23.212544340000001</v>
      </c>
      <c r="D337">
        <v>0</v>
      </c>
      <c r="E337">
        <v>3.5008864850000001</v>
      </c>
      <c r="F337">
        <v>19.54853598</v>
      </c>
      <c r="G337">
        <v>15.201680079999999</v>
      </c>
      <c r="H337">
        <v>0</v>
      </c>
      <c r="I337">
        <f t="shared" si="30"/>
        <v>19.711657855000002</v>
      </c>
      <c r="J337">
        <f t="shared" si="33"/>
        <v>23.212544340000001</v>
      </c>
      <c r="K337">
        <f t="shared" si="31"/>
        <v>0.16312187500000164</v>
      </c>
      <c r="P337">
        <f t="shared" si="32"/>
        <v>8.2754010951252687E-3</v>
      </c>
      <c r="Q337">
        <f t="shared" si="34"/>
        <v>7.0273156018881141E-3</v>
      </c>
    </row>
    <row r="338" spans="1:17" x14ac:dyDescent="0.2">
      <c r="A338" s="1">
        <v>41611</v>
      </c>
      <c r="B338" s="2">
        <f t="shared" si="35"/>
        <v>97</v>
      </c>
      <c r="C338">
        <v>19.54853598</v>
      </c>
      <c r="D338">
        <v>22.8</v>
      </c>
      <c r="E338">
        <v>1.725790725</v>
      </c>
      <c r="F338">
        <v>40.600469959999998</v>
      </c>
      <c r="G338">
        <v>15.197383889999999</v>
      </c>
      <c r="H338">
        <v>0</v>
      </c>
      <c r="I338">
        <f t="shared" si="30"/>
        <v>40.622745254999998</v>
      </c>
      <c r="J338">
        <f t="shared" si="33"/>
        <v>42.348535980000001</v>
      </c>
      <c r="K338">
        <f t="shared" si="31"/>
        <v>2.2275295000000028E-2</v>
      </c>
      <c r="P338">
        <f t="shared" si="32"/>
        <v>5.4834538779129657E-4</v>
      </c>
      <c r="Q338">
        <f t="shared" si="34"/>
        <v>5.2599917528483187E-4</v>
      </c>
    </row>
    <row r="339" spans="1:17" x14ac:dyDescent="0.2">
      <c r="A339" s="1">
        <v>41612</v>
      </c>
      <c r="B339" s="2">
        <f t="shared" si="35"/>
        <v>97</v>
      </c>
      <c r="C339">
        <v>40.600469959999998</v>
      </c>
      <c r="D339">
        <v>0</v>
      </c>
      <c r="E339">
        <v>5.200168551</v>
      </c>
      <c r="F339">
        <v>35.39984552</v>
      </c>
      <c r="G339">
        <v>13.554804600000001</v>
      </c>
      <c r="H339">
        <v>0</v>
      </c>
      <c r="I339">
        <f t="shared" si="30"/>
        <v>35.400301409000001</v>
      </c>
      <c r="J339">
        <f t="shared" si="33"/>
        <v>40.600469959999998</v>
      </c>
      <c r="K339">
        <f t="shared" si="31"/>
        <v>4.5588900000126387E-4</v>
      </c>
      <c r="P339">
        <f t="shared" si="32"/>
        <v>1.2878110689909574E-5</v>
      </c>
      <c r="Q339">
        <f t="shared" si="34"/>
        <v>1.1228663127555183E-5</v>
      </c>
    </row>
    <row r="340" spans="1:17" x14ac:dyDescent="0.2">
      <c r="A340" s="1">
        <v>41613</v>
      </c>
      <c r="B340" s="2">
        <f t="shared" si="35"/>
        <v>97</v>
      </c>
      <c r="C340">
        <v>35.39984552</v>
      </c>
      <c r="D340">
        <v>0</v>
      </c>
      <c r="E340">
        <v>4.4034451519999998</v>
      </c>
      <c r="F340">
        <v>30.940149139999999</v>
      </c>
      <c r="G340">
        <v>13.625326380000001</v>
      </c>
      <c r="H340">
        <v>0</v>
      </c>
      <c r="I340">
        <f t="shared" si="30"/>
        <v>30.996400368</v>
      </c>
      <c r="J340">
        <f t="shared" si="33"/>
        <v>35.39984552</v>
      </c>
      <c r="K340">
        <f t="shared" si="31"/>
        <v>5.6251228000000708E-2</v>
      </c>
      <c r="P340">
        <f t="shared" si="32"/>
        <v>1.8147664674661138E-3</v>
      </c>
      <c r="Q340">
        <f t="shared" si="34"/>
        <v>1.5890246743653221E-3</v>
      </c>
    </row>
    <row r="341" spans="1:17" x14ac:dyDescent="0.2">
      <c r="A341" s="1">
        <v>41614</v>
      </c>
      <c r="B341" s="2">
        <f t="shared" si="35"/>
        <v>97</v>
      </c>
      <c r="C341">
        <v>30.940149139999999</v>
      </c>
      <c r="D341">
        <v>0</v>
      </c>
      <c r="E341">
        <v>3.4143362150000001</v>
      </c>
      <c r="F341">
        <v>27.525660469999998</v>
      </c>
      <c r="G341">
        <v>13.5735058</v>
      </c>
      <c r="H341">
        <v>0</v>
      </c>
      <c r="I341">
        <f t="shared" si="30"/>
        <v>27.525812925</v>
      </c>
      <c r="J341">
        <f t="shared" si="33"/>
        <v>30.940149139999999</v>
      </c>
      <c r="K341">
        <f t="shared" si="31"/>
        <v>1.524550000020497E-4</v>
      </c>
      <c r="P341">
        <f t="shared" si="32"/>
        <v>5.5386193467726511E-6</v>
      </c>
      <c r="Q341">
        <f t="shared" si="34"/>
        <v>4.9274164553057388E-6</v>
      </c>
    </row>
    <row r="342" spans="1:17" x14ac:dyDescent="0.2">
      <c r="A342" s="1">
        <v>41615</v>
      </c>
      <c r="B342" s="2">
        <f t="shared" si="35"/>
        <v>98</v>
      </c>
      <c r="C342">
        <v>27.525660469999998</v>
      </c>
      <c r="D342">
        <v>4.9000000000000004</v>
      </c>
      <c r="E342">
        <v>3.5667819349999998</v>
      </c>
      <c r="F342">
        <v>28.85761218</v>
      </c>
      <c r="G342">
        <v>13.592171410000001</v>
      </c>
      <c r="H342">
        <v>0</v>
      </c>
      <c r="I342">
        <f t="shared" si="30"/>
        <v>28.858878534999995</v>
      </c>
      <c r="J342">
        <f t="shared" si="33"/>
        <v>32.425660469999997</v>
      </c>
      <c r="K342">
        <f t="shared" si="31"/>
        <v>1.2663549999949453E-3</v>
      </c>
      <c r="P342">
        <f t="shared" si="32"/>
        <v>4.3880949790169853E-5</v>
      </c>
      <c r="Q342">
        <f t="shared" si="34"/>
        <v>3.9054100414286656E-5</v>
      </c>
    </row>
    <row r="343" spans="1:17" x14ac:dyDescent="0.2">
      <c r="A343" s="1">
        <v>41616</v>
      </c>
      <c r="B343" s="2">
        <f t="shared" si="35"/>
        <v>98</v>
      </c>
      <c r="C343">
        <v>28.85761218</v>
      </c>
      <c r="D343">
        <v>0</v>
      </c>
      <c r="E343">
        <v>3.9762762330000001</v>
      </c>
      <c r="F343">
        <v>24.608456749999998</v>
      </c>
      <c r="G343">
        <v>13.607099180000001</v>
      </c>
      <c r="H343">
        <v>0</v>
      </c>
      <c r="I343">
        <f t="shared" si="30"/>
        <v>24.881335947</v>
      </c>
      <c r="J343">
        <f t="shared" si="33"/>
        <v>28.85761218</v>
      </c>
      <c r="K343">
        <f t="shared" si="31"/>
        <v>0.27287919700000174</v>
      </c>
      <c r="P343">
        <f t="shared" si="32"/>
        <v>1.0967224492336933E-2</v>
      </c>
      <c r="Q343">
        <f t="shared" si="34"/>
        <v>9.4560560069180937E-3</v>
      </c>
    </row>
    <row r="344" spans="1:17" x14ac:dyDescent="0.2">
      <c r="A344" s="1">
        <v>41617</v>
      </c>
      <c r="B344" s="2">
        <f t="shared" si="35"/>
        <v>98</v>
      </c>
      <c r="C344">
        <v>24.608456749999998</v>
      </c>
      <c r="D344">
        <v>0</v>
      </c>
      <c r="E344">
        <v>2.82810417</v>
      </c>
      <c r="F344">
        <v>21.222032810000002</v>
      </c>
      <c r="G344">
        <v>13.64835199</v>
      </c>
      <c r="H344">
        <v>0</v>
      </c>
      <c r="I344">
        <f t="shared" si="30"/>
        <v>21.780352579999999</v>
      </c>
      <c r="J344">
        <f t="shared" si="33"/>
        <v>24.608456749999998</v>
      </c>
      <c r="K344">
        <f t="shared" si="31"/>
        <v>0.55831976999999711</v>
      </c>
      <c r="P344">
        <f t="shared" si="32"/>
        <v>2.5634101557780987E-2</v>
      </c>
      <c r="Q344">
        <f t="shared" si="34"/>
        <v>2.2688126105266521E-2</v>
      </c>
    </row>
    <row r="345" spans="1:17" x14ac:dyDescent="0.2">
      <c r="A345" s="1">
        <v>41618</v>
      </c>
      <c r="B345" s="2">
        <f t="shared" si="35"/>
        <v>98</v>
      </c>
      <c r="C345">
        <v>21.222032810000002</v>
      </c>
      <c r="D345">
        <v>0</v>
      </c>
      <c r="E345">
        <v>1.530963114</v>
      </c>
      <c r="F345">
        <v>19.114010709999999</v>
      </c>
      <c r="G345">
        <v>13.597795339999999</v>
      </c>
      <c r="H345">
        <v>0</v>
      </c>
      <c r="I345">
        <f t="shared" si="30"/>
        <v>19.691069696000003</v>
      </c>
      <c r="J345">
        <f t="shared" si="33"/>
        <v>21.222032810000002</v>
      </c>
      <c r="K345">
        <f t="shared" si="31"/>
        <v>0.57705898600000438</v>
      </c>
      <c r="P345">
        <f t="shared" si="32"/>
        <v>2.9305618989161709E-2</v>
      </c>
      <c r="Q345">
        <f t="shared" si="34"/>
        <v>2.7191503809573289E-2</v>
      </c>
    </row>
    <row r="346" spans="1:17" x14ac:dyDescent="0.2">
      <c r="A346" s="1">
        <v>41619</v>
      </c>
      <c r="B346" s="2">
        <f t="shared" si="35"/>
        <v>98</v>
      </c>
      <c r="C346">
        <v>19.114010709999999</v>
      </c>
      <c r="D346">
        <v>0</v>
      </c>
      <c r="E346">
        <v>4.080655922</v>
      </c>
      <c r="F346">
        <v>14.740791509999999</v>
      </c>
      <c r="G346">
        <v>13.6500623</v>
      </c>
      <c r="H346">
        <v>0</v>
      </c>
      <c r="I346">
        <f t="shared" si="30"/>
        <v>15.033354787999999</v>
      </c>
      <c r="J346">
        <f t="shared" si="33"/>
        <v>19.114010709999999</v>
      </c>
      <c r="K346">
        <f t="shared" si="31"/>
        <v>0.29256327799999937</v>
      </c>
      <c r="P346">
        <f t="shared" si="32"/>
        <v>1.9460944155560721E-2</v>
      </c>
      <c r="Q346">
        <f t="shared" si="34"/>
        <v>1.5306221307437961E-2</v>
      </c>
    </row>
    <row r="347" spans="1:17" x14ac:dyDescent="0.2">
      <c r="A347" s="1">
        <v>41620</v>
      </c>
      <c r="B347" s="2">
        <f t="shared" si="35"/>
        <v>98</v>
      </c>
      <c r="C347">
        <v>14.740791509999999</v>
      </c>
      <c r="D347">
        <v>0</v>
      </c>
      <c r="E347">
        <v>1.1531685970000001</v>
      </c>
      <c r="F347">
        <v>13.5825642</v>
      </c>
      <c r="G347">
        <v>13.5752583</v>
      </c>
      <c r="H347">
        <v>0</v>
      </c>
      <c r="I347">
        <f t="shared" si="30"/>
        <v>13.587622912999999</v>
      </c>
      <c r="J347">
        <f t="shared" si="33"/>
        <v>14.740791509999999</v>
      </c>
      <c r="K347">
        <f t="shared" si="31"/>
        <v>5.0587129999986047E-3</v>
      </c>
      <c r="P347">
        <f t="shared" si="32"/>
        <v>3.7230301667841152E-4</v>
      </c>
      <c r="Q347">
        <f t="shared" si="34"/>
        <v>3.431778406584766E-4</v>
      </c>
    </row>
    <row r="348" spans="1:17" x14ac:dyDescent="0.2">
      <c r="A348" s="1">
        <v>41621</v>
      </c>
      <c r="B348" s="2">
        <f t="shared" si="35"/>
        <v>98</v>
      </c>
      <c r="C348">
        <v>13.5825642</v>
      </c>
      <c r="D348">
        <v>0</v>
      </c>
      <c r="E348">
        <v>5.0167685630000003</v>
      </c>
      <c r="F348">
        <v>8.0764078940000008</v>
      </c>
      <c r="G348">
        <v>13.6248071</v>
      </c>
      <c r="H348">
        <v>0</v>
      </c>
      <c r="I348">
        <f t="shared" si="30"/>
        <v>8.5657956370000008</v>
      </c>
      <c r="J348">
        <f t="shared" si="33"/>
        <v>13.5825642</v>
      </c>
      <c r="K348">
        <f t="shared" si="31"/>
        <v>0.48938774299999999</v>
      </c>
      <c r="P348">
        <f t="shared" si="32"/>
        <v>5.7132782959015152E-2</v>
      </c>
      <c r="Q348">
        <f t="shared" si="34"/>
        <v>3.6030585668058168E-2</v>
      </c>
    </row>
    <row r="349" spans="1:17" x14ac:dyDescent="0.2">
      <c r="A349" s="1">
        <v>41622</v>
      </c>
      <c r="B349" s="2">
        <f t="shared" si="35"/>
        <v>98</v>
      </c>
      <c r="C349">
        <v>8.0764078940000008</v>
      </c>
      <c r="D349">
        <v>0</v>
      </c>
      <c r="E349">
        <v>3.1788524759999999</v>
      </c>
      <c r="F349">
        <v>4.896344934</v>
      </c>
      <c r="G349">
        <v>12.32046308</v>
      </c>
      <c r="H349">
        <v>0</v>
      </c>
      <c r="I349">
        <f t="shared" si="30"/>
        <v>4.8975554180000014</v>
      </c>
      <c r="J349">
        <f t="shared" si="33"/>
        <v>8.0764078940000008</v>
      </c>
      <c r="K349">
        <f t="shared" si="31"/>
        <v>1.2104840000013439E-3</v>
      </c>
      <c r="P349">
        <f t="shared" si="32"/>
        <v>2.4716085816047087E-4</v>
      </c>
      <c r="Q349">
        <f t="shared" si="34"/>
        <v>1.4987900758462407E-4</v>
      </c>
    </row>
    <row r="350" spans="1:17" x14ac:dyDescent="0.2">
      <c r="A350" s="1">
        <v>41623</v>
      </c>
      <c r="B350" s="2">
        <f t="shared" si="35"/>
        <v>99</v>
      </c>
      <c r="C350">
        <v>4.896344934</v>
      </c>
      <c r="D350">
        <v>23.8</v>
      </c>
      <c r="E350">
        <v>2.630590931</v>
      </c>
      <c r="F350">
        <v>25.990243240000002</v>
      </c>
      <c r="G350">
        <v>13.60573645</v>
      </c>
      <c r="H350">
        <v>0</v>
      </c>
      <c r="I350">
        <f t="shared" si="30"/>
        <v>26.065754003000002</v>
      </c>
      <c r="J350">
        <f t="shared" si="33"/>
        <v>28.696344934000003</v>
      </c>
      <c r="K350">
        <f t="shared" si="31"/>
        <v>7.551076300000048E-2</v>
      </c>
      <c r="P350">
        <f t="shared" si="32"/>
        <v>2.8969337695471872E-3</v>
      </c>
      <c r="Q350">
        <f t="shared" si="34"/>
        <v>2.6313721546653776E-3</v>
      </c>
    </row>
    <row r="351" spans="1:17" x14ac:dyDescent="0.2">
      <c r="A351" s="1">
        <v>41624</v>
      </c>
      <c r="B351" s="2">
        <f t="shared" si="35"/>
        <v>99</v>
      </c>
      <c r="C351">
        <v>25.990243240000002</v>
      </c>
      <c r="D351">
        <v>0</v>
      </c>
      <c r="E351">
        <v>1.8968742940000001</v>
      </c>
      <c r="F351">
        <v>23.456038809999999</v>
      </c>
      <c r="G351">
        <v>13.622752070000001</v>
      </c>
      <c r="H351">
        <v>0</v>
      </c>
      <c r="I351">
        <f t="shared" si="30"/>
        <v>24.093368946000002</v>
      </c>
      <c r="J351">
        <f t="shared" si="33"/>
        <v>25.990243240000002</v>
      </c>
      <c r="K351">
        <f t="shared" si="31"/>
        <v>0.63733013600000277</v>
      </c>
      <c r="P351">
        <f t="shared" si="32"/>
        <v>2.6452512200698806E-2</v>
      </c>
      <c r="Q351">
        <f t="shared" si="34"/>
        <v>2.4521899626515489E-2</v>
      </c>
    </row>
    <row r="352" spans="1:17" x14ac:dyDescent="0.2">
      <c r="A352" s="1">
        <v>41625</v>
      </c>
      <c r="B352" s="2">
        <f t="shared" si="35"/>
        <v>100</v>
      </c>
      <c r="C352">
        <v>23.456038809999999</v>
      </c>
      <c r="D352">
        <v>23.5</v>
      </c>
      <c r="E352">
        <v>4.7300080930000004</v>
      </c>
      <c r="F352">
        <v>41.586796489999998</v>
      </c>
      <c r="G352">
        <v>13.618848529999999</v>
      </c>
      <c r="H352">
        <v>0</v>
      </c>
      <c r="I352">
        <f t="shared" si="30"/>
        <v>42.226030716999993</v>
      </c>
      <c r="J352">
        <f t="shared" si="33"/>
        <v>46.956038809999995</v>
      </c>
      <c r="K352">
        <f t="shared" si="31"/>
        <v>0.63923422699999577</v>
      </c>
      <c r="P352">
        <f t="shared" si="32"/>
        <v>1.5138392506843965E-2</v>
      </c>
      <c r="Q352">
        <f t="shared" si="34"/>
        <v>1.3613461509957292E-2</v>
      </c>
    </row>
    <row r="353" spans="1:17" x14ac:dyDescent="0.2">
      <c r="A353" s="1">
        <v>41626</v>
      </c>
      <c r="B353" s="2">
        <f t="shared" si="35"/>
        <v>100</v>
      </c>
      <c r="C353">
        <v>41.586796489999998</v>
      </c>
      <c r="D353">
        <v>0</v>
      </c>
      <c r="E353">
        <v>2.669628511</v>
      </c>
      <c r="F353">
        <v>38.772290460000001</v>
      </c>
      <c r="G353">
        <v>13.564502470000001</v>
      </c>
      <c r="H353">
        <v>0</v>
      </c>
      <c r="I353">
        <f t="shared" si="30"/>
        <v>38.917167978999998</v>
      </c>
      <c r="J353">
        <f t="shared" si="33"/>
        <v>41.586796489999998</v>
      </c>
      <c r="K353">
        <f t="shared" si="31"/>
        <v>0.14487751899999779</v>
      </c>
      <c r="P353">
        <f t="shared" si="32"/>
        <v>3.7227148460076747E-3</v>
      </c>
      <c r="Q353">
        <f t="shared" si="34"/>
        <v>3.4837383791953098E-3</v>
      </c>
    </row>
    <row r="354" spans="1:17" x14ac:dyDescent="0.2">
      <c r="A354" s="1">
        <v>41627</v>
      </c>
      <c r="B354" s="2">
        <f t="shared" si="35"/>
        <v>100</v>
      </c>
      <c r="C354">
        <v>38.772290460000001</v>
      </c>
      <c r="D354">
        <v>0</v>
      </c>
      <c r="E354">
        <v>4.0734313440000003</v>
      </c>
      <c r="F354">
        <v>34.685594090000002</v>
      </c>
      <c r="G354">
        <v>13.56624935</v>
      </c>
      <c r="H354">
        <v>0</v>
      </c>
      <c r="I354">
        <f t="shared" si="30"/>
        <v>34.698859116000001</v>
      </c>
      <c r="J354">
        <f t="shared" si="33"/>
        <v>38.772290460000001</v>
      </c>
      <c r="K354">
        <f t="shared" si="31"/>
        <v>1.3265025999999125E-2</v>
      </c>
      <c r="P354">
        <f t="shared" si="32"/>
        <v>3.8228997546154147E-4</v>
      </c>
      <c r="Q354">
        <f t="shared" si="34"/>
        <v>3.4212644758978533E-4</v>
      </c>
    </row>
    <row r="355" spans="1:17" x14ac:dyDescent="0.2">
      <c r="A355" s="1">
        <v>41628</v>
      </c>
      <c r="B355" s="2">
        <f t="shared" si="35"/>
        <v>100</v>
      </c>
      <c r="C355">
        <v>34.685594090000002</v>
      </c>
      <c r="D355">
        <v>0</v>
      </c>
      <c r="E355">
        <v>6.9590799529999998</v>
      </c>
      <c r="F355">
        <v>27.720896740000001</v>
      </c>
      <c r="G355">
        <v>13.652135250000001</v>
      </c>
      <c r="H355">
        <v>1</v>
      </c>
      <c r="I355">
        <f t="shared" si="30"/>
        <v>27.726514137000002</v>
      </c>
      <c r="J355">
        <f t="shared" si="33"/>
        <v>34.685594090000002</v>
      </c>
      <c r="K355">
        <f t="shared" si="31"/>
        <v>5.6173970000017448E-3</v>
      </c>
      <c r="P355">
        <f t="shared" si="32"/>
        <v>2.0260018883894016E-4</v>
      </c>
      <c r="Q355">
        <f t="shared" si="34"/>
        <v>1.6195187504720478E-4</v>
      </c>
    </row>
    <row r="356" spans="1:17" x14ac:dyDescent="0.2">
      <c r="A356" s="1">
        <v>41629</v>
      </c>
      <c r="B356" s="2">
        <f t="shared" si="35"/>
        <v>101</v>
      </c>
      <c r="C356">
        <v>27.720896740000001</v>
      </c>
      <c r="D356">
        <v>23.7</v>
      </c>
      <c r="E356">
        <v>6.2277798390000001</v>
      </c>
      <c r="F356">
        <v>44.810770529999999</v>
      </c>
      <c r="G356">
        <v>13.566660450000001</v>
      </c>
      <c r="H356">
        <v>1</v>
      </c>
      <c r="I356">
        <f t="shared" si="30"/>
        <v>45.193116901000003</v>
      </c>
      <c r="J356">
        <f t="shared" si="33"/>
        <v>51.420896740000003</v>
      </c>
      <c r="K356">
        <f t="shared" si="31"/>
        <v>0.38234637100000413</v>
      </c>
      <c r="P356">
        <f t="shared" si="32"/>
        <v>8.4602788481611419E-3</v>
      </c>
      <c r="Q356">
        <f t="shared" si="34"/>
        <v>7.4356223877865436E-3</v>
      </c>
    </row>
    <row r="357" spans="1:17" x14ac:dyDescent="0.2">
      <c r="A357" s="1">
        <v>41630</v>
      </c>
      <c r="B357" s="2">
        <f t="shared" si="35"/>
        <v>101</v>
      </c>
      <c r="C357">
        <v>44.810770529999999</v>
      </c>
      <c r="D357">
        <v>0</v>
      </c>
      <c r="E357">
        <v>9.2563730750000008</v>
      </c>
      <c r="F357">
        <v>35.551790390000001</v>
      </c>
      <c r="G357">
        <v>13.55104603</v>
      </c>
      <c r="H357">
        <v>1</v>
      </c>
      <c r="I357">
        <f t="shared" si="30"/>
        <v>35.554397455</v>
      </c>
      <c r="J357">
        <f t="shared" si="33"/>
        <v>44.810770529999999</v>
      </c>
      <c r="K357">
        <f t="shared" si="31"/>
        <v>2.6070649999994089E-3</v>
      </c>
      <c r="P357">
        <f t="shared" si="32"/>
        <v>7.3326091471500346E-5</v>
      </c>
      <c r="Q357">
        <f t="shared" si="34"/>
        <v>5.8179428051879315E-5</v>
      </c>
    </row>
    <row r="358" spans="1:17" x14ac:dyDescent="0.2">
      <c r="A358" s="1">
        <v>41631</v>
      </c>
      <c r="B358" s="2">
        <f t="shared" si="35"/>
        <v>101</v>
      </c>
      <c r="C358">
        <v>35.551790390000001</v>
      </c>
      <c r="D358">
        <v>0</v>
      </c>
      <c r="E358">
        <v>3.353795598</v>
      </c>
      <c r="F358">
        <v>31.523579130000002</v>
      </c>
      <c r="G358">
        <v>13.605643519999999</v>
      </c>
      <c r="H358">
        <v>0</v>
      </c>
      <c r="I358">
        <f t="shared" si="30"/>
        <v>32.197994792000003</v>
      </c>
      <c r="J358">
        <f t="shared" si="33"/>
        <v>35.551790390000001</v>
      </c>
      <c r="K358">
        <f t="shared" si="31"/>
        <v>0.67441566200000125</v>
      </c>
      <c r="P358">
        <f t="shared" si="32"/>
        <v>2.0945890151133521E-2</v>
      </c>
      <c r="Q358">
        <f t="shared" si="34"/>
        <v>1.8969949321868771E-2</v>
      </c>
    </row>
    <row r="359" spans="1:17" x14ac:dyDescent="0.2">
      <c r="A359" s="1">
        <v>41632</v>
      </c>
      <c r="B359" s="2">
        <f t="shared" si="35"/>
        <v>101</v>
      </c>
      <c r="C359">
        <v>31.523579130000002</v>
      </c>
      <c r="D359">
        <v>0</v>
      </c>
      <c r="E359">
        <v>3.6382725539999998</v>
      </c>
      <c r="F359">
        <v>27.881393679999999</v>
      </c>
      <c r="G359">
        <v>13.63621483</v>
      </c>
      <c r="H359">
        <v>0</v>
      </c>
      <c r="I359">
        <f t="shared" si="30"/>
        <v>27.885306576000001</v>
      </c>
      <c r="J359">
        <f t="shared" si="33"/>
        <v>31.523579130000002</v>
      </c>
      <c r="K359">
        <f t="shared" si="31"/>
        <v>3.9128960000027746E-3</v>
      </c>
      <c r="P359">
        <f t="shared" si="32"/>
        <v>1.4032106799107168E-4</v>
      </c>
      <c r="Q359">
        <f t="shared" si="34"/>
        <v>1.2412600688095705E-4</v>
      </c>
    </row>
    <row r="360" spans="1:17" x14ac:dyDescent="0.2">
      <c r="A360" s="1">
        <v>41633</v>
      </c>
      <c r="B360" s="2">
        <f t="shared" si="35"/>
        <v>102</v>
      </c>
      <c r="C360">
        <v>27.881393679999999</v>
      </c>
      <c r="D360">
        <v>22.8</v>
      </c>
      <c r="E360">
        <v>4.1799073179999997</v>
      </c>
      <c r="F360">
        <v>46.43260274</v>
      </c>
      <c r="G360">
        <v>13.612235370000001</v>
      </c>
      <c r="H360">
        <v>0</v>
      </c>
      <c r="I360">
        <f t="shared" si="30"/>
        <v>46.501486362000001</v>
      </c>
      <c r="J360">
        <f t="shared" si="33"/>
        <v>50.681393679999999</v>
      </c>
      <c r="K360">
        <f t="shared" si="31"/>
        <v>6.888362200000131E-2</v>
      </c>
      <c r="P360">
        <f t="shared" si="32"/>
        <v>1.4813208649668346E-3</v>
      </c>
      <c r="Q360">
        <f t="shared" si="34"/>
        <v>1.3591501140424304E-3</v>
      </c>
    </row>
    <row r="361" spans="1:17" x14ac:dyDescent="0.2">
      <c r="A361" s="1">
        <v>41634</v>
      </c>
      <c r="B361" s="2">
        <f t="shared" si="35"/>
        <v>102</v>
      </c>
      <c r="C361">
        <v>46.43260274</v>
      </c>
      <c r="D361">
        <v>0</v>
      </c>
      <c r="E361">
        <v>2.5351819990000002</v>
      </c>
      <c r="F361">
        <v>43.870348249999999</v>
      </c>
      <c r="G361">
        <v>13.566506929999999</v>
      </c>
      <c r="H361">
        <v>0</v>
      </c>
      <c r="I361">
        <f t="shared" si="30"/>
        <v>43.897420740999998</v>
      </c>
      <c r="J361">
        <f t="shared" si="33"/>
        <v>46.43260274</v>
      </c>
      <c r="K361">
        <f t="shared" si="31"/>
        <v>2.7072490999998422E-2</v>
      </c>
      <c r="P361">
        <f t="shared" si="32"/>
        <v>6.1672167847239446E-4</v>
      </c>
      <c r="Q361">
        <f t="shared" si="34"/>
        <v>5.8304918101600306E-4</v>
      </c>
    </row>
    <row r="362" spans="1:17" x14ac:dyDescent="0.2">
      <c r="A362" s="1">
        <v>41635</v>
      </c>
      <c r="B362" s="2">
        <f t="shared" si="35"/>
        <v>102</v>
      </c>
      <c r="C362">
        <v>43.870348249999999</v>
      </c>
      <c r="D362">
        <v>0</v>
      </c>
      <c r="E362">
        <v>2.8874960019999998</v>
      </c>
      <c r="F362">
        <v>39.531290050000003</v>
      </c>
      <c r="G362">
        <v>12.48515692</v>
      </c>
      <c r="H362">
        <v>0</v>
      </c>
      <c r="I362">
        <f t="shared" si="30"/>
        <v>40.982852248</v>
      </c>
      <c r="J362">
        <f t="shared" si="33"/>
        <v>43.870348249999999</v>
      </c>
      <c r="K362">
        <f t="shared" si="31"/>
        <v>1.4515621979999977</v>
      </c>
      <c r="P362">
        <f t="shared" si="32"/>
        <v>3.5418769518923254E-2</v>
      </c>
      <c r="Q362">
        <f t="shared" si="34"/>
        <v>3.3087546734940673E-2</v>
      </c>
    </row>
    <row r="363" spans="1:17" x14ac:dyDescent="0.2">
      <c r="A363" s="1">
        <v>41636</v>
      </c>
      <c r="B363" s="2">
        <f t="shared" si="35"/>
        <v>102</v>
      </c>
      <c r="C363">
        <v>39.531290050000003</v>
      </c>
      <c r="D363">
        <v>0</v>
      </c>
      <c r="E363">
        <v>2.8133479139999999</v>
      </c>
      <c r="F363">
        <v>36.012374970000003</v>
      </c>
      <c r="G363">
        <v>13.954109020000001</v>
      </c>
      <c r="H363">
        <v>0</v>
      </c>
      <c r="I363">
        <f t="shared" si="30"/>
        <v>36.717942136000005</v>
      </c>
      <c r="J363">
        <f t="shared" si="33"/>
        <v>39.531290050000003</v>
      </c>
      <c r="K363">
        <f t="shared" si="31"/>
        <v>0.70556716600000158</v>
      </c>
      <c r="P363">
        <f t="shared" si="32"/>
        <v>1.9215868999048022E-2</v>
      </c>
      <c r="Q363">
        <f t="shared" si="34"/>
        <v>1.7848321294538717E-2</v>
      </c>
    </row>
    <row r="364" spans="1:17" x14ac:dyDescent="0.2">
      <c r="A364" s="1">
        <v>41637</v>
      </c>
      <c r="B364" s="2">
        <f t="shared" si="35"/>
        <v>102</v>
      </c>
      <c r="C364">
        <v>36.012374970000003</v>
      </c>
      <c r="D364">
        <v>0</v>
      </c>
      <c r="E364">
        <v>2.6495438569999998</v>
      </c>
      <c r="F364">
        <v>33.129278669999998</v>
      </c>
      <c r="G364">
        <v>14.01290455</v>
      </c>
      <c r="H364">
        <v>0</v>
      </c>
      <c r="I364">
        <f t="shared" si="30"/>
        <v>33.362831113000006</v>
      </c>
      <c r="J364">
        <f t="shared" si="33"/>
        <v>36.012374970000003</v>
      </c>
      <c r="K364">
        <f t="shared" si="31"/>
        <v>0.23355244300000777</v>
      </c>
      <c r="P364">
        <f t="shared" si="32"/>
        <v>7.0003784213925058E-3</v>
      </c>
      <c r="Q364">
        <f t="shared" si="34"/>
        <v>6.4853385313956083E-3</v>
      </c>
    </row>
    <row r="365" spans="1:17" x14ac:dyDescent="0.2">
      <c r="A365" s="1">
        <v>41638</v>
      </c>
      <c r="B365" s="2">
        <f t="shared" si="35"/>
        <v>102</v>
      </c>
      <c r="C365">
        <v>33.129278669999998</v>
      </c>
      <c r="D365">
        <v>0</v>
      </c>
      <c r="E365">
        <v>4.0138088119999997</v>
      </c>
      <c r="F365">
        <v>28.947812590000002</v>
      </c>
      <c r="G365">
        <v>13.928658909999999</v>
      </c>
      <c r="H365">
        <v>0</v>
      </c>
      <c r="I365">
        <f t="shared" si="30"/>
        <v>29.115469857999997</v>
      </c>
      <c r="J365">
        <f t="shared" si="33"/>
        <v>33.129278669999998</v>
      </c>
      <c r="K365">
        <f t="shared" si="31"/>
        <v>0.1676572679999957</v>
      </c>
      <c r="P365">
        <f t="shared" si="32"/>
        <v>5.7583569428102102E-3</v>
      </c>
      <c r="Q365">
        <f t="shared" si="34"/>
        <v>5.0606978096331637E-3</v>
      </c>
    </row>
    <row r="366" spans="1:17" x14ac:dyDescent="0.2">
      <c r="A366" s="1">
        <v>41639</v>
      </c>
      <c r="B366" s="2">
        <f t="shared" si="35"/>
        <v>102</v>
      </c>
      <c r="C366">
        <v>28.947812590000002</v>
      </c>
      <c r="D366">
        <v>0</v>
      </c>
      <c r="E366">
        <v>1.847838402</v>
      </c>
      <c r="F366">
        <v>25.637969120000001</v>
      </c>
      <c r="G366">
        <v>13.997917429999999</v>
      </c>
      <c r="H366">
        <v>0</v>
      </c>
      <c r="I366">
        <f t="shared" si="30"/>
        <v>27.099974188000001</v>
      </c>
      <c r="J366">
        <f t="shared" si="33"/>
        <v>28.947812590000002</v>
      </c>
      <c r="K366">
        <f t="shared" si="31"/>
        <v>1.4620050679999999</v>
      </c>
      <c r="P366">
        <f t="shared" si="32"/>
        <v>5.3948577878992328E-2</v>
      </c>
      <c r="Q366">
        <f t="shared" si="34"/>
        <v>5.050485467440978E-2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AE1AB-6CC1-DE44-B054-B04CC11240AC}">
  <dimension ref="A1:D105"/>
  <sheetViews>
    <sheetView workbookViewId="0">
      <selection sqref="A1:D1048576"/>
    </sheetView>
  </sheetViews>
  <sheetFormatPr baseColWidth="10" defaultRowHeight="16" x14ac:dyDescent="0.2"/>
  <cols>
    <col min="1" max="1" width="13" bestFit="1" customWidth="1"/>
    <col min="2" max="2" width="19.83203125" bestFit="1" customWidth="1"/>
    <col min="3" max="3" width="12.1640625" bestFit="1" customWidth="1"/>
    <col min="4" max="4" width="13.6640625" bestFit="1" customWidth="1"/>
  </cols>
  <sheetData>
    <row r="1" spans="1:4" x14ac:dyDescent="0.2">
      <c r="A1" s="3" t="s">
        <v>15</v>
      </c>
      <c r="B1" t="s">
        <v>18</v>
      </c>
      <c r="C1" t="s">
        <v>19</v>
      </c>
      <c r="D1" t="s">
        <v>20</v>
      </c>
    </row>
    <row r="2" spans="1:4" x14ac:dyDescent="0.2">
      <c r="A2" s="4">
        <v>1</v>
      </c>
      <c r="B2" s="2">
        <v>28.362150790000001</v>
      </c>
      <c r="C2" s="2">
        <v>3.1645283540000007</v>
      </c>
      <c r="D2" s="2">
        <v>6</v>
      </c>
    </row>
    <row r="3" spans="1:4" x14ac:dyDescent="0.2">
      <c r="A3" s="4">
        <v>2</v>
      </c>
      <c r="B3" s="2">
        <v>5.8595306479999998</v>
      </c>
      <c r="C3" s="2">
        <v>0.120046665</v>
      </c>
      <c r="D3" s="2">
        <v>4</v>
      </c>
    </row>
    <row r="4" spans="1:4" x14ac:dyDescent="0.2">
      <c r="A4" s="4">
        <v>3</v>
      </c>
      <c r="B4" s="2">
        <v>19.287140910000002</v>
      </c>
      <c r="C4" s="2">
        <v>0.98245102000000006</v>
      </c>
      <c r="D4" s="2">
        <v>6</v>
      </c>
    </row>
    <row r="5" spans="1:4" x14ac:dyDescent="0.2">
      <c r="A5" s="4">
        <v>4</v>
      </c>
      <c r="B5" s="2">
        <v>20.268358490000001</v>
      </c>
      <c r="C5" s="2">
        <v>0.94012927300000371</v>
      </c>
      <c r="D5" s="2">
        <v>6</v>
      </c>
    </row>
    <row r="6" spans="1:4" x14ac:dyDescent="0.2">
      <c r="A6" s="4">
        <v>5</v>
      </c>
      <c r="B6" s="2">
        <v>24.757358060000001</v>
      </c>
      <c r="C6" s="2">
        <v>1.5288294620000027</v>
      </c>
      <c r="D6" s="2">
        <v>6</v>
      </c>
    </row>
    <row r="7" spans="1:4" x14ac:dyDescent="0.2">
      <c r="A7" s="4">
        <v>6</v>
      </c>
      <c r="B7" s="2">
        <v>22.821703729999999</v>
      </c>
      <c r="C7" s="2">
        <v>1.8571945560000032</v>
      </c>
      <c r="D7" s="2">
        <v>5</v>
      </c>
    </row>
    <row r="8" spans="1:4" x14ac:dyDescent="0.2">
      <c r="A8" s="4">
        <v>7</v>
      </c>
      <c r="B8" s="2">
        <v>18.69548181</v>
      </c>
      <c r="C8" s="2">
        <v>0.13783599299999949</v>
      </c>
      <c r="D8" s="2">
        <v>4</v>
      </c>
    </row>
    <row r="9" spans="1:4" x14ac:dyDescent="0.2">
      <c r="A9" s="4">
        <v>8</v>
      </c>
      <c r="B9" s="2">
        <v>51.318500700000001</v>
      </c>
      <c r="C9" s="2">
        <v>3.745288549000005</v>
      </c>
      <c r="D9" s="2">
        <v>13</v>
      </c>
    </row>
    <row r="10" spans="1:4" x14ac:dyDescent="0.2">
      <c r="A10" s="4">
        <v>9</v>
      </c>
      <c r="B10" s="2">
        <v>13.170838460000001</v>
      </c>
      <c r="C10" s="2">
        <v>0.234480778</v>
      </c>
      <c r="D10" s="2">
        <v>2</v>
      </c>
    </row>
    <row r="11" spans="1:4" x14ac:dyDescent="0.2">
      <c r="A11" s="4">
        <v>10</v>
      </c>
      <c r="B11" s="2">
        <v>20.37669481</v>
      </c>
      <c r="C11" s="2">
        <v>0.1779029660000031</v>
      </c>
      <c r="D11" s="2">
        <v>5</v>
      </c>
    </row>
    <row r="12" spans="1:4" x14ac:dyDescent="0.2">
      <c r="A12" s="4">
        <v>11</v>
      </c>
      <c r="B12" s="2">
        <v>26.587999809999999</v>
      </c>
      <c r="C12" s="2">
        <v>2.5097880560000014</v>
      </c>
      <c r="D12" s="2">
        <v>4</v>
      </c>
    </row>
    <row r="13" spans="1:4" x14ac:dyDescent="0.2">
      <c r="A13" s="4">
        <v>12</v>
      </c>
      <c r="B13" s="2">
        <v>24.975026939999999</v>
      </c>
      <c r="C13" s="2">
        <v>1.3682209830000041</v>
      </c>
      <c r="D13" s="2">
        <v>3</v>
      </c>
    </row>
    <row r="14" spans="1:4" x14ac:dyDescent="0.2">
      <c r="A14" s="4">
        <v>13</v>
      </c>
      <c r="B14" s="2">
        <v>30.02147707</v>
      </c>
      <c r="C14" s="2">
        <v>1.8236914340000006</v>
      </c>
      <c r="D14" s="2">
        <v>10</v>
      </c>
    </row>
    <row r="15" spans="1:4" x14ac:dyDescent="0.2">
      <c r="A15" s="4">
        <v>14</v>
      </c>
      <c r="B15" s="2">
        <v>9.6718711339999999</v>
      </c>
      <c r="C15" s="2">
        <v>0.14132600200000089</v>
      </c>
      <c r="D15" s="2">
        <v>3</v>
      </c>
    </row>
    <row r="16" spans="1:4" x14ac:dyDescent="0.2">
      <c r="A16" s="4">
        <v>15</v>
      </c>
      <c r="B16" s="2">
        <v>16.531203959999999</v>
      </c>
      <c r="C16" s="2">
        <v>0.5129776349999986</v>
      </c>
      <c r="D16" s="2">
        <v>4</v>
      </c>
    </row>
    <row r="17" spans="1:4" x14ac:dyDescent="0.2">
      <c r="A17" s="4">
        <v>16</v>
      </c>
      <c r="B17" s="2">
        <v>16.768868560000001</v>
      </c>
      <c r="C17" s="2">
        <v>1.1558481169999997</v>
      </c>
      <c r="D17" s="2">
        <v>4</v>
      </c>
    </row>
    <row r="18" spans="1:4" x14ac:dyDescent="0.2">
      <c r="A18" s="4">
        <v>17</v>
      </c>
      <c r="B18" s="2">
        <v>16.214856730000001</v>
      </c>
      <c r="C18" s="2">
        <v>0.87124478500000357</v>
      </c>
      <c r="D18" s="2">
        <v>5</v>
      </c>
    </row>
    <row r="19" spans="1:4" x14ac:dyDescent="0.2">
      <c r="A19" s="4">
        <v>18</v>
      </c>
      <c r="B19" s="2">
        <v>19.74047977</v>
      </c>
      <c r="C19" s="2">
        <v>0.24392114499999717</v>
      </c>
      <c r="D19" s="2">
        <v>6</v>
      </c>
    </row>
    <row r="20" spans="1:4" x14ac:dyDescent="0.2">
      <c r="A20" s="4">
        <v>19</v>
      </c>
      <c r="B20" s="2">
        <v>12.61840421</v>
      </c>
      <c r="C20" s="2">
        <v>0.20112577000000087</v>
      </c>
      <c r="D20" s="2">
        <v>3</v>
      </c>
    </row>
    <row r="21" spans="1:4" x14ac:dyDescent="0.2">
      <c r="A21" s="4">
        <v>20</v>
      </c>
      <c r="B21" s="2">
        <v>19.085602919999999</v>
      </c>
      <c r="C21" s="2">
        <v>4.5411689999994564E-3</v>
      </c>
      <c r="D21" s="2">
        <v>2</v>
      </c>
    </row>
    <row r="22" spans="1:4" x14ac:dyDescent="0.2">
      <c r="A22" s="4">
        <v>21</v>
      </c>
      <c r="B22" s="2">
        <v>12.50841031</v>
      </c>
      <c r="C22" s="2">
        <v>0.84300952600000301</v>
      </c>
      <c r="D22" s="2">
        <v>1</v>
      </c>
    </row>
    <row r="23" spans="1:4" x14ac:dyDescent="0.2">
      <c r="A23" s="4">
        <v>22</v>
      </c>
      <c r="B23" s="2">
        <v>20.343002989999999</v>
      </c>
      <c r="C23" s="2">
        <v>2.0111649419999971</v>
      </c>
      <c r="D23" s="2">
        <v>2</v>
      </c>
    </row>
    <row r="24" spans="1:4" x14ac:dyDescent="0.2">
      <c r="A24" s="4">
        <v>23</v>
      </c>
      <c r="B24" s="2">
        <v>29.00742687</v>
      </c>
      <c r="C24" s="2">
        <v>0.7459585730000029</v>
      </c>
      <c r="D24" s="2">
        <v>3</v>
      </c>
    </row>
    <row r="25" spans="1:4" x14ac:dyDescent="0.2">
      <c r="A25" s="4">
        <v>24</v>
      </c>
      <c r="B25" s="2">
        <v>37.03527364</v>
      </c>
      <c r="C25" s="2">
        <v>2.6507984570000058</v>
      </c>
      <c r="D25" s="2">
        <v>4</v>
      </c>
    </row>
    <row r="26" spans="1:4" x14ac:dyDescent="0.2">
      <c r="A26" s="4">
        <v>25</v>
      </c>
      <c r="B26" s="2">
        <v>36.836787989999998</v>
      </c>
      <c r="C26" s="2">
        <v>2.8073278419999994</v>
      </c>
      <c r="D26" s="2">
        <v>5</v>
      </c>
    </row>
    <row r="27" spans="1:4" x14ac:dyDescent="0.2">
      <c r="A27" s="4">
        <v>26</v>
      </c>
      <c r="B27" s="2">
        <v>29.613084600000001</v>
      </c>
      <c r="C27" s="2">
        <v>1.0800089530000054</v>
      </c>
      <c r="D27" s="2">
        <v>8</v>
      </c>
    </row>
    <row r="28" spans="1:4" x14ac:dyDescent="0.2">
      <c r="A28" s="4">
        <v>27</v>
      </c>
      <c r="B28" s="2">
        <v>27.062277470000002</v>
      </c>
      <c r="C28" s="2">
        <v>1.9727671790000016</v>
      </c>
      <c r="D28" s="2">
        <v>8</v>
      </c>
    </row>
    <row r="29" spans="1:4" x14ac:dyDescent="0.2">
      <c r="A29" s="4">
        <v>28</v>
      </c>
      <c r="B29" s="2">
        <v>20.055696900000001</v>
      </c>
      <c r="C29" s="2">
        <v>0.72869709800000138</v>
      </c>
      <c r="D29" s="2">
        <v>3</v>
      </c>
    </row>
    <row r="30" spans="1:4" x14ac:dyDescent="0.2">
      <c r="A30" s="4">
        <v>29</v>
      </c>
      <c r="B30" s="2">
        <v>18.150132079999999</v>
      </c>
      <c r="C30" s="2">
        <v>1.5502797509999979</v>
      </c>
      <c r="D30" s="2">
        <v>4</v>
      </c>
    </row>
    <row r="31" spans="1:4" x14ac:dyDescent="0.2">
      <c r="A31" s="4">
        <v>30</v>
      </c>
      <c r="B31" s="2">
        <v>27.222005129999999</v>
      </c>
      <c r="C31" s="2">
        <v>2.7493706999994316E-2</v>
      </c>
      <c r="D31" s="2">
        <v>2</v>
      </c>
    </row>
    <row r="32" spans="1:4" x14ac:dyDescent="0.2">
      <c r="A32" s="4">
        <v>31</v>
      </c>
      <c r="B32" s="2">
        <v>24.516598040000002</v>
      </c>
      <c r="C32" s="2">
        <v>0.29392574000000593</v>
      </c>
      <c r="D32" s="2">
        <v>1</v>
      </c>
    </row>
    <row r="33" spans="1:4" x14ac:dyDescent="0.2">
      <c r="A33" s="4">
        <v>32</v>
      </c>
      <c r="B33" s="2">
        <v>38.229573629999997</v>
      </c>
      <c r="C33" s="2">
        <v>0.27440013300000032</v>
      </c>
      <c r="D33" s="2">
        <v>5</v>
      </c>
    </row>
    <row r="34" spans="1:4" x14ac:dyDescent="0.2">
      <c r="A34" s="4">
        <v>33</v>
      </c>
      <c r="B34" s="2">
        <v>27.644945669999998</v>
      </c>
      <c r="C34" s="2">
        <v>0.94194061199999979</v>
      </c>
      <c r="D34" s="2">
        <v>2</v>
      </c>
    </row>
    <row r="35" spans="1:4" x14ac:dyDescent="0.2">
      <c r="A35" s="4">
        <v>34</v>
      </c>
      <c r="B35" s="2">
        <v>25.401882789999998</v>
      </c>
      <c r="C35" s="2">
        <v>0.24203521499999781</v>
      </c>
      <c r="D35" s="2">
        <v>2</v>
      </c>
    </row>
    <row r="36" spans="1:4" x14ac:dyDescent="0.2">
      <c r="A36" s="4">
        <v>35</v>
      </c>
      <c r="B36" s="2">
        <v>27.64339683</v>
      </c>
      <c r="C36" s="2">
        <v>0.77583076199999823</v>
      </c>
      <c r="D36" s="2">
        <v>2</v>
      </c>
    </row>
    <row r="37" spans="1:4" x14ac:dyDescent="0.2">
      <c r="A37" s="4">
        <v>36</v>
      </c>
      <c r="B37" s="2">
        <v>28.333079000000001</v>
      </c>
      <c r="C37" s="2">
        <v>0.87008517899999838</v>
      </c>
      <c r="D37" s="2">
        <v>4</v>
      </c>
    </row>
    <row r="38" spans="1:4" x14ac:dyDescent="0.2">
      <c r="A38" s="4">
        <v>37</v>
      </c>
      <c r="B38" s="2">
        <v>21.765459140000001</v>
      </c>
      <c r="C38" s="2">
        <v>4.9103687999998868E-2</v>
      </c>
      <c r="D38" s="2">
        <v>2</v>
      </c>
    </row>
    <row r="39" spans="1:4" x14ac:dyDescent="0.2">
      <c r="A39" s="4">
        <v>38</v>
      </c>
      <c r="B39" s="2">
        <v>22.658560909999999</v>
      </c>
      <c r="C39" s="2">
        <v>0.66510719099999882</v>
      </c>
      <c r="D39" s="2">
        <v>3</v>
      </c>
    </row>
    <row r="40" spans="1:4" x14ac:dyDescent="0.2">
      <c r="A40" s="4">
        <v>39</v>
      </c>
      <c r="B40" s="2">
        <v>25.674569940000001</v>
      </c>
      <c r="C40" s="2">
        <v>0.78661060399999982</v>
      </c>
      <c r="D40" s="2">
        <v>5</v>
      </c>
    </row>
    <row r="41" spans="1:4" x14ac:dyDescent="0.2">
      <c r="A41" s="4">
        <v>40</v>
      </c>
      <c r="B41" s="2">
        <v>21.662096129999998</v>
      </c>
      <c r="C41" s="2">
        <v>0.13294345299999577</v>
      </c>
      <c r="D41" s="2">
        <v>2</v>
      </c>
    </row>
    <row r="42" spans="1:4" x14ac:dyDescent="0.2">
      <c r="A42" s="4">
        <v>41</v>
      </c>
      <c r="B42" s="2">
        <v>28.044853140000001</v>
      </c>
      <c r="C42" s="2">
        <v>0.19048541700000499</v>
      </c>
      <c r="D42" s="2">
        <v>4</v>
      </c>
    </row>
    <row r="43" spans="1:4" x14ac:dyDescent="0.2">
      <c r="A43" s="4">
        <v>42</v>
      </c>
      <c r="B43" s="2">
        <v>28.81552615</v>
      </c>
      <c r="C43" s="2">
        <v>0.53734344099999376</v>
      </c>
      <c r="D43" s="2">
        <v>4</v>
      </c>
    </row>
    <row r="44" spans="1:4" x14ac:dyDescent="0.2">
      <c r="A44" s="4">
        <v>43</v>
      </c>
      <c r="B44" s="2">
        <v>28.96046887</v>
      </c>
      <c r="C44" s="2">
        <v>0.25566746400000184</v>
      </c>
      <c r="D44" s="2">
        <v>2</v>
      </c>
    </row>
    <row r="45" spans="1:4" x14ac:dyDescent="0.2">
      <c r="A45" s="4">
        <v>44</v>
      </c>
      <c r="B45" s="2">
        <v>33.307329809999999</v>
      </c>
      <c r="C45" s="2">
        <v>4.7798580999995011E-2</v>
      </c>
      <c r="D45" s="2">
        <v>4</v>
      </c>
    </row>
    <row r="46" spans="1:4" x14ac:dyDescent="0.2">
      <c r="A46" s="4">
        <v>45</v>
      </c>
      <c r="B46" s="2">
        <v>34.285803909999998</v>
      </c>
      <c r="C46" s="2">
        <v>0.64991786400000251</v>
      </c>
      <c r="D46" s="2">
        <v>3</v>
      </c>
    </row>
    <row r="47" spans="1:4" x14ac:dyDescent="0.2">
      <c r="A47" s="4">
        <v>46</v>
      </c>
      <c r="B47" s="2">
        <v>35.311631589999998</v>
      </c>
      <c r="C47" s="2">
        <v>2.0256274800000043</v>
      </c>
      <c r="D47" s="2">
        <v>8</v>
      </c>
    </row>
    <row r="48" spans="1:4" x14ac:dyDescent="0.2">
      <c r="A48" s="4">
        <v>47</v>
      </c>
      <c r="B48" s="2">
        <v>23.340895419999999</v>
      </c>
      <c r="C48" s="2">
        <v>1.673384016</v>
      </c>
      <c r="D48" s="2">
        <v>5</v>
      </c>
    </row>
    <row r="49" spans="1:4" x14ac:dyDescent="0.2">
      <c r="A49" s="4">
        <v>48</v>
      </c>
      <c r="B49" s="2">
        <v>22.00741382</v>
      </c>
      <c r="C49" s="2">
        <v>0.22692925800000197</v>
      </c>
      <c r="D49" s="2">
        <v>2</v>
      </c>
    </row>
    <row r="50" spans="1:4" x14ac:dyDescent="0.2">
      <c r="A50" s="4">
        <v>49</v>
      </c>
      <c r="B50" s="2">
        <v>29.73661954</v>
      </c>
      <c r="C50" s="2">
        <v>1.6164737019999924</v>
      </c>
      <c r="D50" s="2">
        <v>9</v>
      </c>
    </row>
    <row r="51" spans="1:4" x14ac:dyDescent="0.2">
      <c r="A51" s="4">
        <v>50</v>
      </c>
      <c r="B51" s="2">
        <v>15.674932249999999</v>
      </c>
      <c r="C51" s="2">
        <v>0.16271987399999954</v>
      </c>
      <c r="D51" s="2">
        <v>4</v>
      </c>
    </row>
    <row r="52" spans="1:4" x14ac:dyDescent="0.2">
      <c r="A52" s="4">
        <v>51</v>
      </c>
      <c r="B52" s="2">
        <v>5.5146405830000003</v>
      </c>
      <c r="C52" s="2">
        <v>5.2757999999997196E-4</v>
      </c>
      <c r="D52" s="2">
        <v>1</v>
      </c>
    </row>
    <row r="53" spans="1:4" x14ac:dyDescent="0.2">
      <c r="A53" s="4">
        <v>52</v>
      </c>
      <c r="B53" s="2">
        <v>9.0940218480000006</v>
      </c>
      <c r="C53" s="2">
        <v>0.38116936299999971</v>
      </c>
      <c r="D53" s="2">
        <v>1</v>
      </c>
    </row>
    <row r="54" spans="1:4" x14ac:dyDescent="0.2">
      <c r="A54" s="4">
        <v>53</v>
      </c>
      <c r="B54" s="2">
        <v>9.4628625540000009</v>
      </c>
      <c r="C54" s="2">
        <v>3.8348470000020285E-3</v>
      </c>
      <c r="D54" s="2">
        <v>1</v>
      </c>
    </row>
    <row r="55" spans="1:4" x14ac:dyDescent="0.2">
      <c r="A55" s="4">
        <v>54</v>
      </c>
      <c r="B55" s="2">
        <v>11.294960319999999</v>
      </c>
      <c r="C55" s="2">
        <v>5.5459656000000024E-2</v>
      </c>
      <c r="D55" s="2">
        <v>1</v>
      </c>
    </row>
    <row r="56" spans="1:4" x14ac:dyDescent="0.2">
      <c r="A56" s="4">
        <v>55</v>
      </c>
      <c r="B56" s="2">
        <v>13.686328230000001</v>
      </c>
      <c r="C56" s="2">
        <v>5.9872140000010177E-3</v>
      </c>
      <c r="D56" s="2">
        <v>2</v>
      </c>
    </row>
    <row r="57" spans="1:4" x14ac:dyDescent="0.2">
      <c r="A57" s="4">
        <v>56</v>
      </c>
      <c r="B57" s="2">
        <v>10.449511640000001</v>
      </c>
      <c r="C57" s="2">
        <v>0.53494893000000054</v>
      </c>
      <c r="D57" s="2">
        <v>1</v>
      </c>
    </row>
    <row r="58" spans="1:4" x14ac:dyDescent="0.2">
      <c r="A58" s="4">
        <v>57</v>
      </c>
      <c r="B58" s="2">
        <v>12.098419850000001</v>
      </c>
      <c r="C58" s="2">
        <v>0.16182901900000068</v>
      </c>
      <c r="D58" s="2">
        <v>1</v>
      </c>
    </row>
    <row r="59" spans="1:4" x14ac:dyDescent="0.2">
      <c r="A59" s="4">
        <v>58</v>
      </c>
      <c r="B59" s="2">
        <v>12.921752529999999</v>
      </c>
      <c r="C59" s="2">
        <v>0.39506093199999803</v>
      </c>
      <c r="D59" s="2">
        <v>3</v>
      </c>
    </row>
    <row r="60" spans="1:4" x14ac:dyDescent="0.2">
      <c r="A60" s="4">
        <v>59</v>
      </c>
      <c r="B60" s="2">
        <v>8.3282779750000007</v>
      </c>
      <c r="C60" s="2">
        <v>4.1915726000002707E-2</v>
      </c>
      <c r="D60" s="2">
        <v>1</v>
      </c>
    </row>
    <row r="61" spans="1:4" x14ac:dyDescent="0.2">
      <c r="A61" s="4">
        <v>60</v>
      </c>
      <c r="B61" s="2">
        <v>11.559916449999999</v>
      </c>
      <c r="C61" s="2">
        <v>9.033826699999814E-2</v>
      </c>
      <c r="D61" s="2">
        <v>1</v>
      </c>
    </row>
    <row r="62" spans="1:4" x14ac:dyDescent="0.2">
      <c r="A62" s="4">
        <v>61</v>
      </c>
      <c r="B62" s="2">
        <v>12.70008784</v>
      </c>
      <c r="C62" s="2">
        <v>0.53926616899999935</v>
      </c>
      <c r="D62" s="2">
        <v>1</v>
      </c>
    </row>
    <row r="63" spans="1:4" x14ac:dyDescent="0.2">
      <c r="A63" s="4">
        <v>62</v>
      </c>
      <c r="B63" s="2">
        <v>11.7946069</v>
      </c>
      <c r="C63" s="2">
        <v>8.350890000006217E-4</v>
      </c>
      <c r="D63" s="2">
        <v>1</v>
      </c>
    </row>
    <row r="64" spans="1:4" x14ac:dyDescent="0.2">
      <c r="A64" s="4">
        <v>63</v>
      </c>
      <c r="B64" s="2">
        <v>11.0600211</v>
      </c>
      <c r="C64" s="2">
        <v>8.5414303000000302E-2</v>
      </c>
      <c r="D64" s="2">
        <v>1</v>
      </c>
    </row>
    <row r="65" spans="1:4" x14ac:dyDescent="0.2">
      <c r="A65" s="4">
        <v>64</v>
      </c>
      <c r="B65" s="2">
        <v>10.64127092</v>
      </c>
      <c r="C65" s="2">
        <v>0.27830305900000063</v>
      </c>
      <c r="D65" s="2">
        <v>1</v>
      </c>
    </row>
    <row r="66" spans="1:4" x14ac:dyDescent="0.2">
      <c r="A66" s="4">
        <v>65</v>
      </c>
      <c r="B66" s="2">
        <v>11.02504444</v>
      </c>
      <c r="C66" s="2">
        <v>1.1599922340000006</v>
      </c>
      <c r="D66" s="2">
        <v>1</v>
      </c>
    </row>
    <row r="67" spans="1:4" x14ac:dyDescent="0.2">
      <c r="A67" s="4">
        <v>66</v>
      </c>
      <c r="B67" s="2">
        <v>11.740356179999999</v>
      </c>
      <c r="C67" s="2">
        <v>8.1758578999997056E-2</v>
      </c>
      <c r="D67" s="2">
        <v>1</v>
      </c>
    </row>
    <row r="68" spans="1:4" x14ac:dyDescent="0.2">
      <c r="A68" s="4">
        <v>67</v>
      </c>
      <c r="B68" s="2">
        <v>12.11225196</v>
      </c>
      <c r="C68" s="2">
        <v>3.1370849000001755E-2</v>
      </c>
      <c r="D68" s="2">
        <v>1</v>
      </c>
    </row>
    <row r="69" spans="1:4" x14ac:dyDescent="0.2">
      <c r="A69" s="4">
        <v>68</v>
      </c>
      <c r="B69" s="2">
        <v>12.942391239999999</v>
      </c>
      <c r="C69" s="2">
        <v>0.27039214799999733</v>
      </c>
      <c r="D69" s="2">
        <v>1</v>
      </c>
    </row>
    <row r="70" spans="1:4" x14ac:dyDescent="0.2">
      <c r="A70" s="4">
        <v>69</v>
      </c>
      <c r="B70" s="2">
        <v>13.790427230000001</v>
      </c>
      <c r="C70" s="2">
        <v>1.2887803370000022</v>
      </c>
      <c r="D70" s="2">
        <v>1</v>
      </c>
    </row>
    <row r="71" spans="1:4" x14ac:dyDescent="0.2">
      <c r="A71" s="4">
        <v>70</v>
      </c>
      <c r="B71" s="2">
        <v>12.635224040000001</v>
      </c>
      <c r="C71" s="2">
        <v>1.318417399999916E-2</v>
      </c>
      <c r="D71" s="2">
        <v>1</v>
      </c>
    </row>
    <row r="72" spans="1:4" x14ac:dyDescent="0.2">
      <c r="A72" s="4">
        <v>71</v>
      </c>
      <c r="B72" s="2">
        <v>13.405303050000001</v>
      </c>
      <c r="C72" s="2">
        <v>0.25822947099999993</v>
      </c>
      <c r="D72" s="2">
        <v>3</v>
      </c>
    </row>
    <row r="73" spans="1:4" x14ac:dyDescent="0.2">
      <c r="A73" s="4">
        <v>72</v>
      </c>
      <c r="B73" s="2">
        <v>8.6753524009999996</v>
      </c>
      <c r="C73" s="2">
        <v>3.9668989999999127E-3</v>
      </c>
      <c r="D73" s="2">
        <v>2</v>
      </c>
    </row>
    <row r="74" spans="1:4" x14ac:dyDescent="0.2">
      <c r="A74" s="4">
        <v>73</v>
      </c>
      <c r="B74" s="2">
        <v>10.04360425</v>
      </c>
      <c r="C74" s="2">
        <v>0.18368920100000086</v>
      </c>
      <c r="D74" s="2">
        <v>3</v>
      </c>
    </row>
    <row r="75" spans="1:4" x14ac:dyDescent="0.2">
      <c r="A75" s="4">
        <v>74</v>
      </c>
      <c r="B75" s="2">
        <v>7.1064307910000002</v>
      </c>
      <c r="C75" s="2">
        <v>2.2684498000002051E-2</v>
      </c>
      <c r="D75" s="2">
        <v>2</v>
      </c>
    </row>
    <row r="76" spans="1:4" x14ac:dyDescent="0.2">
      <c r="A76" s="4">
        <v>75</v>
      </c>
      <c r="B76" s="2">
        <v>10.48786954</v>
      </c>
      <c r="C76" s="2">
        <v>2.6280860000014172E-3</v>
      </c>
      <c r="D76" s="2">
        <v>2</v>
      </c>
    </row>
    <row r="77" spans="1:4" x14ac:dyDescent="0.2">
      <c r="A77" s="4">
        <v>76</v>
      </c>
      <c r="B77" s="2">
        <v>11.061812209999999</v>
      </c>
      <c r="C77" s="2">
        <v>0.73308591999999884</v>
      </c>
      <c r="D77" s="2">
        <v>2</v>
      </c>
    </row>
    <row r="78" spans="1:4" x14ac:dyDescent="0.2">
      <c r="A78" s="4">
        <v>77</v>
      </c>
      <c r="B78" s="2">
        <v>11.183728070000001</v>
      </c>
      <c r="C78" s="2">
        <v>0.56649242900000019</v>
      </c>
      <c r="D78" s="2">
        <v>3</v>
      </c>
    </row>
    <row r="79" spans="1:4" x14ac:dyDescent="0.2">
      <c r="A79" s="4">
        <v>78</v>
      </c>
      <c r="B79" s="2">
        <v>7.7567912349999997</v>
      </c>
      <c r="C79" s="2">
        <v>0.15020655100000013</v>
      </c>
      <c r="D79" s="2">
        <v>2</v>
      </c>
    </row>
    <row r="80" spans="1:4" x14ac:dyDescent="0.2">
      <c r="A80" s="4">
        <v>79</v>
      </c>
      <c r="B80" s="2">
        <v>5.5557345439999999</v>
      </c>
      <c r="C80" s="2">
        <v>0.43437747399999882</v>
      </c>
      <c r="D80" s="2">
        <v>1</v>
      </c>
    </row>
    <row r="81" spans="1:4" x14ac:dyDescent="0.2">
      <c r="A81" s="4">
        <v>80</v>
      </c>
      <c r="B81" s="2">
        <v>7.991935657</v>
      </c>
      <c r="C81" s="2">
        <v>5.3252245999999559E-2</v>
      </c>
      <c r="D81" s="2">
        <v>1</v>
      </c>
    </row>
    <row r="82" spans="1:4" x14ac:dyDescent="0.2">
      <c r="A82" s="4">
        <v>81</v>
      </c>
      <c r="B82" s="2">
        <v>11.288793849999999</v>
      </c>
      <c r="C82" s="2">
        <v>0.30796661399999969</v>
      </c>
      <c r="D82" s="2">
        <v>2</v>
      </c>
    </row>
    <row r="83" spans="1:4" x14ac:dyDescent="0.2">
      <c r="A83" s="4">
        <v>82</v>
      </c>
      <c r="B83" s="2">
        <v>10.0116341</v>
      </c>
      <c r="C83" s="2">
        <v>0.40595967299999991</v>
      </c>
      <c r="D83" s="2">
        <v>2</v>
      </c>
    </row>
    <row r="84" spans="1:4" x14ac:dyDescent="0.2">
      <c r="A84" s="4">
        <v>83</v>
      </c>
      <c r="B84" s="2">
        <v>6.6953453940000003</v>
      </c>
      <c r="C84" s="2">
        <v>0.13513910500000037</v>
      </c>
      <c r="D84" s="2">
        <v>1</v>
      </c>
    </row>
    <row r="85" spans="1:4" x14ac:dyDescent="0.2">
      <c r="A85" s="4">
        <v>84</v>
      </c>
      <c r="B85" s="2">
        <v>14.19134519</v>
      </c>
      <c r="C85" s="2">
        <v>0.38107481500000162</v>
      </c>
      <c r="D85" s="2">
        <v>4</v>
      </c>
    </row>
    <row r="86" spans="1:4" x14ac:dyDescent="0.2">
      <c r="A86" s="4">
        <v>85</v>
      </c>
      <c r="B86" s="2">
        <v>21.79544559</v>
      </c>
      <c r="C86" s="2">
        <v>0.77500789199999953</v>
      </c>
      <c r="D86" s="2">
        <v>5</v>
      </c>
    </row>
    <row r="87" spans="1:4" x14ac:dyDescent="0.2">
      <c r="A87" s="4">
        <v>86</v>
      </c>
      <c r="B87" s="2">
        <v>9.0786477629999993</v>
      </c>
      <c r="C87" s="2">
        <v>0.16232478900000147</v>
      </c>
      <c r="D87" s="2">
        <v>3</v>
      </c>
    </row>
    <row r="88" spans="1:4" x14ac:dyDescent="0.2">
      <c r="A88" s="4">
        <v>87</v>
      </c>
      <c r="B88" s="2">
        <v>11.92214442</v>
      </c>
      <c r="C88" s="2">
        <v>0.19984863800000063</v>
      </c>
      <c r="D88" s="2">
        <v>3</v>
      </c>
    </row>
    <row r="89" spans="1:4" x14ac:dyDescent="0.2">
      <c r="A89" s="4">
        <v>88</v>
      </c>
      <c r="B89" s="2">
        <v>14.85974008</v>
      </c>
      <c r="C89" s="2">
        <v>0.68915331900000298</v>
      </c>
      <c r="D89" s="2">
        <v>4</v>
      </c>
    </row>
    <row r="90" spans="1:4" x14ac:dyDescent="0.2">
      <c r="A90" s="4">
        <v>89</v>
      </c>
      <c r="B90" s="2">
        <v>13.86438051</v>
      </c>
      <c r="C90" s="2">
        <v>0.16576518899999915</v>
      </c>
      <c r="D90" s="2">
        <v>4</v>
      </c>
    </row>
    <row r="91" spans="1:4" x14ac:dyDescent="0.2">
      <c r="A91" s="4">
        <v>90</v>
      </c>
      <c r="B91" s="2">
        <v>26.56030724</v>
      </c>
      <c r="C91" s="2">
        <v>1.995792435000002</v>
      </c>
      <c r="D91" s="2">
        <v>8</v>
      </c>
    </row>
    <row r="92" spans="1:4" x14ac:dyDescent="0.2">
      <c r="A92" s="4">
        <v>91</v>
      </c>
      <c r="B92" s="2">
        <v>46.406204279999997</v>
      </c>
      <c r="C92" s="2">
        <v>1.4360064689999987</v>
      </c>
      <c r="D92" s="2">
        <v>6</v>
      </c>
    </row>
    <row r="93" spans="1:4" x14ac:dyDescent="0.2">
      <c r="A93" s="4">
        <v>92</v>
      </c>
      <c r="B93" s="2">
        <v>43.246146869999997</v>
      </c>
      <c r="C93" s="2">
        <v>2.6036868989999906</v>
      </c>
      <c r="D93" s="2">
        <v>10</v>
      </c>
    </row>
    <row r="94" spans="1:4" x14ac:dyDescent="0.2">
      <c r="A94" s="4">
        <v>93</v>
      </c>
      <c r="B94" s="2">
        <v>18.013713729999999</v>
      </c>
      <c r="C94" s="2">
        <v>0.102883488999999</v>
      </c>
      <c r="D94" s="2">
        <v>6</v>
      </c>
    </row>
    <row r="95" spans="1:4" x14ac:dyDescent="0.2">
      <c r="A95" s="4">
        <v>94</v>
      </c>
      <c r="B95" s="2">
        <v>29.046152419999999</v>
      </c>
      <c r="C95" s="2">
        <v>2.839634736999999</v>
      </c>
      <c r="D95" s="2">
        <v>12</v>
      </c>
    </row>
    <row r="96" spans="1:4" x14ac:dyDescent="0.2">
      <c r="A96" s="4">
        <v>95</v>
      </c>
      <c r="B96" s="2">
        <v>28.658457030000001</v>
      </c>
      <c r="C96" s="2">
        <v>3.2039949289999985</v>
      </c>
      <c r="D96" s="2">
        <v>4</v>
      </c>
    </row>
    <row r="97" spans="1:4" x14ac:dyDescent="0.2">
      <c r="A97" s="4">
        <v>96</v>
      </c>
      <c r="B97" s="2">
        <v>30.290481700000001</v>
      </c>
      <c r="C97" s="2">
        <v>1.2863126839999985</v>
      </c>
      <c r="D97" s="2">
        <v>4</v>
      </c>
    </row>
    <row r="98" spans="1:4" x14ac:dyDescent="0.2">
      <c r="A98" s="4">
        <v>97</v>
      </c>
      <c r="B98" s="2">
        <v>40.600469959999998</v>
      </c>
      <c r="C98" s="2">
        <v>7.913486700000405E-2</v>
      </c>
      <c r="D98" s="2">
        <v>4</v>
      </c>
    </row>
    <row r="99" spans="1:4" x14ac:dyDescent="0.2">
      <c r="A99" s="4">
        <v>98</v>
      </c>
      <c r="B99" s="2">
        <v>28.85761218</v>
      </c>
      <c r="C99" s="2">
        <v>2.1977445259999975</v>
      </c>
      <c r="D99" s="2">
        <v>8</v>
      </c>
    </row>
    <row r="100" spans="1:4" x14ac:dyDescent="0.2">
      <c r="A100" s="4">
        <v>99</v>
      </c>
      <c r="B100" s="2">
        <v>25.990243240000002</v>
      </c>
      <c r="C100" s="2">
        <v>0.71284089900000325</v>
      </c>
      <c r="D100" s="2">
        <v>2</v>
      </c>
    </row>
    <row r="101" spans="1:4" x14ac:dyDescent="0.2">
      <c r="A101" s="4">
        <v>100</v>
      </c>
      <c r="B101" s="2">
        <v>41.586796489999998</v>
      </c>
      <c r="C101" s="2">
        <v>0.80299416899999443</v>
      </c>
      <c r="D101" s="2">
        <v>4</v>
      </c>
    </row>
    <row r="102" spans="1:4" x14ac:dyDescent="0.2">
      <c r="A102" s="4">
        <v>101</v>
      </c>
      <c r="B102" s="2">
        <v>44.810770529999999</v>
      </c>
      <c r="C102" s="2">
        <v>1.0632819940000076</v>
      </c>
      <c r="D102" s="2">
        <v>4</v>
      </c>
    </row>
    <row r="103" spans="1:4" x14ac:dyDescent="0.2">
      <c r="A103" s="4">
        <v>102</v>
      </c>
      <c r="B103" s="2">
        <v>46.43260274</v>
      </c>
      <c r="C103" s="2">
        <v>4.1163002560000024</v>
      </c>
      <c r="D103" s="2">
        <v>7</v>
      </c>
    </row>
    <row r="104" spans="1:4" x14ac:dyDescent="0.2">
      <c r="A104" s="4" t="s">
        <v>16</v>
      </c>
      <c r="B104" s="2"/>
      <c r="C104" s="2"/>
      <c r="D104" s="2"/>
    </row>
    <row r="105" spans="1:4" x14ac:dyDescent="0.2">
      <c r="A105" s="4" t="s">
        <v>17</v>
      </c>
      <c r="B105" s="2">
        <v>51.318500700000001</v>
      </c>
      <c r="C105" s="2">
        <v>82.049038051000082</v>
      </c>
      <c r="D105" s="2">
        <v>365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54A73-0642-5D4D-994B-1AAD09193844}">
  <dimension ref="A1:K366"/>
  <sheetViews>
    <sheetView workbookViewId="0">
      <selection sqref="A1:K1048576"/>
    </sheetView>
  </sheetViews>
  <sheetFormatPr baseColWidth="10" defaultRowHeight="16" x14ac:dyDescent="0.2"/>
  <cols>
    <col min="2" max="2" width="10.83203125" style="2"/>
    <col min="7" max="8" width="0" hidden="1" customWidth="1"/>
    <col min="9" max="9" width="17.5" customWidth="1"/>
    <col min="10" max="10" width="29.83203125" customWidth="1"/>
  </cols>
  <sheetData>
    <row r="1" spans="1:11" x14ac:dyDescent="0.2">
      <c r="A1" t="s">
        <v>0</v>
      </c>
      <c r="B1" s="2" t="s">
        <v>14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11</v>
      </c>
      <c r="J1" t="s">
        <v>12</v>
      </c>
      <c r="K1" t="s">
        <v>7</v>
      </c>
    </row>
    <row r="2" spans="1:11" x14ac:dyDescent="0.2">
      <c r="A2" s="1">
        <v>41275</v>
      </c>
      <c r="B2" s="2">
        <v>1</v>
      </c>
      <c r="C2">
        <v>28.362150790000001</v>
      </c>
      <c r="D2">
        <v>0</v>
      </c>
      <c r="E2">
        <v>2.4326272929999999</v>
      </c>
      <c r="F2">
        <v>25.881052189999998</v>
      </c>
      <c r="G2">
        <v>6.2585092089999996</v>
      </c>
      <c r="H2">
        <v>0</v>
      </c>
      <c r="I2">
        <f>C2+D2-E2</f>
        <v>25.929523497000002</v>
      </c>
      <c r="J2">
        <f>C2+D2</f>
        <v>28.362150790000001</v>
      </c>
      <c r="K2">
        <f>I2-F2</f>
        <v>4.847130700000335E-2</v>
      </c>
    </row>
    <row r="3" spans="1:11" x14ac:dyDescent="0.2">
      <c r="A3" s="1">
        <v>41276</v>
      </c>
      <c r="B3" s="2">
        <f>IF(D3&gt;0,B2+1,B2)</f>
        <v>1</v>
      </c>
      <c r="C3">
        <v>25.881052189999998</v>
      </c>
      <c r="D3">
        <v>0</v>
      </c>
      <c r="E3">
        <v>4.2733658879999998</v>
      </c>
      <c r="F3">
        <v>19.303865720000001</v>
      </c>
      <c r="G3">
        <v>5.8628262089999996</v>
      </c>
      <c r="H3">
        <v>0</v>
      </c>
      <c r="I3">
        <f>C3+D3-E3</f>
        <v>21.607686301999998</v>
      </c>
      <c r="J3">
        <f t="shared" ref="J3:J66" si="0">C3+D3</f>
        <v>25.881052189999998</v>
      </c>
      <c r="K3">
        <f t="shared" ref="K3:K66" si="1">I3-F3</f>
        <v>2.3038205819999966</v>
      </c>
    </row>
    <row r="4" spans="1:11" x14ac:dyDescent="0.2">
      <c r="A4" s="1">
        <v>41277</v>
      </c>
      <c r="B4" s="2">
        <f t="shared" ref="B4:B67" si="2">IF(D4&gt;0,B3+1,B3)</f>
        <v>1</v>
      </c>
      <c r="C4">
        <v>19.303865720000001</v>
      </c>
      <c r="D4">
        <v>0</v>
      </c>
      <c r="E4">
        <v>3.9495427049999998</v>
      </c>
      <c r="F4">
        <v>14.929142710000001</v>
      </c>
      <c r="G4">
        <v>6.6823200070000004</v>
      </c>
      <c r="H4">
        <v>0</v>
      </c>
      <c r="I4">
        <f t="shared" ref="I4:I67" si="3">C4+D4-E4</f>
        <v>15.354323015000002</v>
      </c>
      <c r="J4">
        <f t="shared" si="0"/>
        <v>19.303865720000001</v>
      </c>
      <c r="K4">
        <f t="shared" si="1"/>
        <v>0.42518030500000137</v>
      </c>
    </row>
    <row r="5" spans="1:11" x14ac:dyDescent="0.2">
      <c r="A5" s="1">
        <v>41278</v>
      </c>
      <c r="B5" s="2">
        <f t="shared" si="2"/>
        <v>1</v>
      </c>
      <c r="C5">
        <v>14.929142710000001</v>
      </c>
      <c r="D5">
        <v>0</v>
      </c>
      <c r="E5">
        <v>3.4605390429999998</v>
      </c>
      <c r="F5">
        <v>11.127760179999999</v>
      </c>
      <c r="G5">
        <v>5.1488433540000003</v>
      </c>
      <c r="H5">
        <v>0</v>
      </c>
      <c r="I5">
        <f t="shared" si="3"/>
        <v>11.468603667</v>
      </c>
      <c r="J5">
        <f t="shared" si="0"/>
        <v>14.929142710000001</v>
      </c>
      <c r="K5">
        <f t="shared" si="1"/>
        <v>0.34084348700000078</v>
      </c>
    </row>
    <row r="6" spans="1:11" x14ac:dyDescent="0.2">
      <c r="A6" s="1">
        <v>41279</v>
      </c>
      <c r="B6" s="2">
        <f t="shared" si="2"/>
        <v>1</v>
      </c>
      <c r="C6">
        <v>11.127760179999999</v>
      </c>
      <c r="D6">
        <v>0</v>
      </c>
      <c r="E6">
        <v>3.0430254780000001</v>
      </c>
      <c r="F6">
        <v>8.0727017859999997</v>
      </c>
      <c r="G6">
        <v>6.1214076000000004</v>
      </c>
      <c r="H6">
        <v>0</v>
      </c>
      <c r="I6">
        <f t="shared" si="3"/>
        <v>8.0847347019999987</v>
      </c>
      <c r="J6">
        <f t="shared" si="0"/>
        <v>11.127760179999999</v>
      </c>
      <c r="K6">
        <f t="shared" si="1"/>
        <v>1.2032915999999005E-2</v>
      </c>
    </row>
    <row r="7" spans="1:11" x14ac:dyDescent="0.2">
      <c r="A7" s="1">
        <v>41280</v>
      </c>
      <c r="B7" s="2">
        <f t="shared" si="2"/>
        <v>1</v>
      </c>
      <c r="C7">
        <v>8.0727017859999997</v>
      </c>
      <c r="D7">
        <v>0</v>
      </c>
      <c r="E7">
        <v>3.2865184580000002</v>
      </c>
      <c r="F7">
        <v>4.7520035710000004</v>
      </c>
      <c r="G7">
        <v>4.8768588350000002</v>
      </c>
      <c r="H7">
        <v>0</v>
      </c>
      <c r="I7">
        <f t="shared" si="3"/>
        <v>4.7861833279999999</v>
      </c>
      <c r="J7">
        <f t="shared" si="0"/>
        <v>8.0727017859999997</v>
      </c>
      <c r="K7">
        <f t="shared" si="1"/>
        <v>3.4179756999999533E-2</v>
      </c>
    </row>
    <row r="8" spans="1:11" x14ac:dyDescent="0.2">
      <c r="A8" s="1">
        <v>41281</v>
      </c>
      <c r="B8" s="2">
        <f t="shared" si="2"/>
        <v>2</v>
      </c>
      <c r="C8">
        <v>4.7520035710000004</v>
      </c>
      <c r="D8">
        <v>4.7</v>
      </c>
      <c r="E8">
        <v>3.5560864780000001</v>
      </c>
      <c r="F8">
        <v>5.8595306479999998</v>
      </c>
      <c r="G8">
        <v>7.38076518</v>
      </c>
      <c r="H8">
        <v>0</v>
      </c>
      <c r="I8">
        <f t="shared" si="3"/>
        <v>5.8959170930000004</v>
      </c>
      <c r="J8">
        <f t="shared" si="0"/>
        <v>9.4520035710000005</v>
      </c>
      <c r="K8">
        <f t="shared" si="1"/>
        <v>3.6386445000000656E-2</v>
      </c>
    </row>
    <row r="9" spans="1:11" x14ac:dyDescent="0.2">
      <c r="A9" s="1">
        <v>41282</v>
      </c>
      <c r="B9" s="2">
        <f t="shared" si="2"/>
        <v>2</v>
      </c>
      <c r="C9">
        <v>5.8595306479999998</v>
      </c>
      <c r="D9">
        <v>0</v>
      </c>
      <c r="E9">
        <v>2.8517199350000002</v>
      </c>
      <c r="F9">
        <v>2.9986823490000001</v>
      </c>
      <c r="G9">
        <v>7.1194814959999997</v>
      </c>
      <c r="H9">
        <v>0</v>
      </c>
      <c r="I9">
        <f t="shared" si="3"/>
        <v>3.0078107129999996</v>
      </c>
      <c r="J9">
        <f t="shared" si="0"/>
        <v>5.8595306479999998</v>
      </c>
      <c r="K9">
        <f t="shared" si="1"/>
        <v>9.1283639999995003E-3</v>
      </c>
    </row>
    <row r="10" spans="1:11" x14ac:dyDescent="0.2">
      <c r="A10" s="1">
        <v>41283</v>
      </c>
      <c r="B10" s="2">
        <f t="shared" si="2"/>
        <v>2</v>
      </c>
      <c r="C10">
        <v>2.9986823490000001</v>
      </c>
      <c r="D10">
        <v>0</v>
      </c>
      <c r="E10">
        <v>0.57471355300000004</v>
      </c>
      <c r="F10">
        <v>2.3580341069999999</v>
      </c>
      <c r="G10">
        <v>7.0891299490000002</v>
      </c>
      <c r="H10">
        <v>0</v>
      </c>
      <c r="I10">
        <f t="shared" si="3"/>
        <v>2.423968796</v>
      </c>
      <c r="J10">
        <f t="shared" si="0"/>
        <v>2.9986823490000001</v>
      </c>
      <c r="K10">
        <f t="shared" si="1"/>
        <v>6.5934689000000102E-2</v>
      </c>
    </row>
    <row r="11" spans="1:11" x14ac:dyDescent="0.2">
      <c r="A11" s="1">
        <v>41284</v>
      </c>
      <c r="B11" s="2">
        <f t="shared" si="2"/>
        <v>2</v>
      </c>
      <c r="C11">
        <v>2.3580341069999999</v>
      </c>
      <c r="D11">
        <v>0</v>
      </c>
      <c r="E11">
        <v>2.3161748160000002</v>
      </c>
      <c r="F11">
        <v>3.3262123999999997E-2</v>
      </c>
      <c r="G11">
        <v>6.6638185400000003</v>
      </c>
      <c r="H11">
        <v>0</v>
      </c>
      <c r="I11">
        <f t="shared" si="3"/>
        <v>4.1859290999999743E-2</v>
      </c>
      <c r="J11">
        <f t="shared" si="0"/>
        <v>2.3580341069999999</v>
      </c>
      <c r="K11">
        <f t="shared" si="1"/>
        <v>8.597166999999746E-3</v>
      </c>
    </row>
    <row r="12" spans="1:11" x14ac:dyDescent="0.2">
      <c r="A12" s="1">
        <v>41285</v>
      </c>
      <c r="B12" s="2">
        <f t="shared" si="2"/>
        <v>3</v>
      </c>
      <c r="C12">
        <v>3.3262123999999997E-2</v>
      </c>
      <c r="D12">
        <v>24.4</v>
      </c>
      <c r="E12">
        <v>4.7236360499999996</v>
      </c>
      <c r="F12">
        <v>19.287140910000002</v>
      </c>
      <c r="G12">
        <v>5.8489184959999996</v>
      </c>
      <c r="H12">
        <v>0</v>
      </c>
      <c r="I12">
        <f t="shared" si="3"/>
        <v>19.709626073999999</v>
      </c>
      <c r="J12">
        <f t="shared" si="0"/>
        <v>24.433262123999999</v>
      </c>
      <c r="K12">
        <f t="shared" si="1"/>
        <v>0.42248516399999758</v>
      </c>
    </row>
    <row r="13" spans="1:11" x14ac:dyDescent="0.2">
      <c r="A13" s="1">
        <v>41286</v>
      </c>
      <c r="B13" s="2">
        <f t="shared" si="2"/>
        <v>3</v>
      </c>
      <c r="C13">
        <v>19.287140910000002</v>
      </c>
      <c r="D13">
        <v>0</v>
      </c>
      <c r="E13">
        <v>4.9826323869999998</v>
      </c>
      <c r="F13">
        <v>14.301608310000001</v>
      </c>
      <c r="G13">
        <v>5.9785161740000001</v>
      </c>
      <c r="H13">
        <v>0</v>
      </c>
      <c r="I13">
        <f t="shared" si="3"/>
        <v>14.304508523000003</v>
      </c>
      <c r="J13">
        <f t="shared" si="0"/>
        <v>19.287140910000002</v>
      </c>
      <c r="K13">
        <f t="shared" si="1"/>
        <v>2.9002130000019832E-3</v>
      </c>
    </row>
    <row r="14" spans="1:11" x14ac:dyDescent="0.2">
      <c r="A14" s="1">
        <v>41287</v>
      </c>
      <c r="B14" s="2">
        <f t="shared" si="2"/>
        <v>3</v>
      </c>
      <c r="C14">
        <v>14.301608310000001</v>
      </c>
      <c r="D14">
        <v>0</v>
      </c>
      <c r="E14">
        <v>4.2931267670000004</v>
      </c>
      <c r="F14">
        <v>9.5991907669999996</v>
      </c>
      <c r="G14">
        <v>6.9469976710000001</v>
      </c>
      <c r="H14">
        <v>0</v>
      </c>
      <c r="I14">
        <f t="shared" si="3"/>
        <v>10.008481543</v>
      </c>
      <c r="J14">
        <f t="shared" si="0"/>
        <v>14.301608310000001</v>
      </c>
      <c r="K14">
        <f t="shared" si="1"/>
        <v>0.40929077600000063</v>
      </c>
    </row>
    <row r="15" spans="1:11" x14ac:dyDescent="0.2">
      <c r="A15" s="1">
        <v>41288</v>
      </c>
      <c r="B15" s="2">
        <f t="shared" si="2"/>
        <v>3</v>
      </c>
      <c r="C15">
        <v>9.5991907669999996</v>
      </c>
      <c r="D15">
        <v>0</v>
      </c>
      <c r="E15">
        <v>3.026662934</v>
      </c>
      <c r="F15">
        <v>6.4653166950000003</v>
      </c>
      <c r="G15">
        <v>5.9852000800000003</v>
      </c>
      <c r="H15">
        <v>0</v>
      </c>
      <c r="I15">
        <f t="shared" si="3"/>
        <v>6.5725278329999997</v>
      </c>
      <c r="J15">
        <f t="shared" si="0"/>
        <v>9.5991907669999996</v>
      </c>
      <c r="K15">
        <f t="shared" si="1"/>
        <v>0.10721113799999937</v>
      </c>
    </row>
    <row r="16" spans="1:11" x14ac:dyDescent="0.2">
      <c r="A16" s="1">
        <v>41289</v>
      </c>
      <c r="B16" s="2">
        <f t="shared" si="2"/>
        <v>3</v>
      </c>
      <c r="C16">
        <v>6.4653166950000003</v>
      </c>
      <c r="D16">
        <v>0</v>
      </c>
      <c r="E16">
        <v>2.3240876699999999</v>
      </c>
      <c r="F16">
        <v>4.1039811610000001</v>
      </c>
      <c r="G16">
        <v>6.2842471819999997</v>
      </c>
      <c r="H16">
        <v>0</v>
      </c>
      <c r="I16">
        <f t="shared" si="3"/>
        <v>4.1412290250000003</v>
      </c>
      <c r="J16">
        <f t="shared" si="0"/>
        <v>6.4653166950000003</v>
      </c>
      <c r="K16">
        <f t="shared" si="1"/>
        <v>3.7247864000000241E-2</v>
      </c>
    </row>
    <row r="17" spans="1:11" x14ac:dyDescent="0.2">
      <c r="A17" s="1">
        <v>41290</v>
      </c>
      <c r="B17" s="2">
        <f t="shared" si="2"/>
        <v>3</v>
      </c>
      <c r="C17">
        <v>4.1039811610000001</v>
      </c>
      <c r="D17">
        <v>0</v>
      </c>
      <c r="E17">
        <v>1.6213544150000001</v>
      </c>
      <c r="F17">
        <v>2.479310881</v>
      </c>
      <c r="G17">
        <v>6.3591323810000002</v>
      </c>
      <c r="H17">
        <v>0</v>
      </c>
      <c r="I17">
        <f t="shared" si="3"/>
        <v>2.4826267460000002</v>
      </c>
      <c r="J17">
        <f t="shared" si="0"/>
        <v>4.1039811610000001</v>
      </c>
      <c r="K17">
        <f t="shared" si="1"/>
        <v>3.315865000000251E-3</v>
      </c>
    </row>
    <row r="18" spans="1:11" x14ac:dyDescent="0.2">
      <c r="A18" s="1">
        <v>41291</v>
      </c>
      <c r="B18" s="2">
        <f t="shared" si="2"/>
        <v>4</v>
      </c>
      <c r="C18">
        <v>2.479310881</v>
      </c>
      <c r="D18">
        <v>20.6</v>
      </c>
      <c r="E18">
        <v>2.6110268130000001</v>
      </c>
      <c r="F18">
        <v>20.268358490000001</v>
      </c>
      <c r="G18">
        <v>6.4964946179999998</v>
      </c>
      <c r="H18">
        <v>0</v>
      </c>
      <c r="I18">
        <f t="shared" si="3"/>
        <v>20.468284068000003</v>
      </c>
      <c r="J18">
        <f t="shared" si="0"/>
        <v>23.079310881000001</v>
      </c>
      <c r="K18">
        <f t="shared" si="1"/>
        <v>0.19992557800000199</v>
      </c>
    </row>
    <row r="19" spans="1:11" x14ac:dyDescent="0.2">
      <c r="A19" s="1">
        <v>41292</v>
      </c>
      <c r="B19" s="2">
        <f t="shared" si="2"/>
        <v>4</v>
      </c>
      <c r="C19">
        <v>20.268358490000001</v>
      </c>
      <c r="D19">
        <v>0</v>
      </c>
      <c r="E19">
        <v>2.6318540129999999</v>
      </c>
      <c r="F19">
        <v>17.27785544</v>
      </c>
      <c r="G19">
        <v>7.4140671359999999</v>
      </c>
      <c r="H19">
        <v>0</v>
      </c>
      <c r="I19">
        <f t="shared" si="3"/>
        <v>17.636504477000003</v>
      </c>
      <c r="J19">
        <f t="shared" si="0"/>
        <v>20.268358490000001</v>
      </c>
      <c r="K19">
        <f t="shared" si="1"/>
        <v>0.35864903700000283</v>
      </c>
    </row>
    <row r="20" spans="1:11" x14ac:dyDescent="0.2">
      <c r="A20" s="1">
        <v>41293</v>
      </c>
      <c r="B20" s="2">
        <f t="shared" si="2"/>
        <v>4</v>
      </c>
      <c r="C20">
        <v>17.27785544</v>
      </c>
      <c r="D20">
        <v>0</v>
      </c>
      <c r="E20">
        <v>1.493184804</v>
      </c>
      <c r="F20">
        <v>15.641415820000001</v>
      </c>
      <c r="G20">
        <v>7.2098460109999998</v>
      </c>
      <c r="H20">
        <v>0</v>
      </c>
      <c r="I20">
        <f t="shared" si="3"/>
        <v>15.784670636</v>
      </c>
      <c r="J20">
        <f t="shared" si="0"/>
        <v>17.27785544</v>
      </c>
      <c r="K20">
        <f t="shared" si="1"/>
        <v>0.1432548159999989</v>
      </c>
    </row>
    <row r="21" spans="1:11" x14ac:dyDescent="0.2">
      <c r="A21" s="1">
        <v>41294</v>
      </c>
      <c r="B21" s="2">
        <f t="shared" si="2"/>
        <v>4</v>
      </c>
      <c r="C21">
        <v>15.641415820000001</v>
      </c>
      <c r="D21">
        <v>0</v>
      </c>
      <c r="E21">
        <v>2.8919918870000001</v>
      </c>
      <c r="F21">
        <v>12.51787504</v>
      </c>
      <c r="G21">
        <v>7.5868389509999998</v>
      </c>
      <c r="H21">
        <v>0</v>
      </c>
      <c r="I21">
        <f t="shared" si="3"/>
        <v>12.749423933000001</v>
      </c>
      <c r="J21">
        <f t="shared" si="0"/>
        <v>15.641415820000001</v>
      </c>
      <c r="K21">
        <f t="shared" si="1"/>
        <v>0.23154889300000114</v>
      </c>
    </row>
    <row r="22" spans="1:11" x14ac:dyDescent="0.2">
      <c r="A22" s="1">
        <v>41295</v>
      </c>
      <c r="B22" s="2">
        <f t="shared" si="2"/>
        <v>4</v>
      </c>
      <c r="C22">
        <v>12.51787504</v>
      </c>
      <c r="D22">
        <v>0</v>
      </c>
      <c r="E22">
        <v>2.254207042</v>
      </c>
      <c r="F22">
        <v>10.263630790000001</v>
      </c>
      <c r="G22">
        <v>7.4706106300000004</v>
      </c>
      <c r="H22">
        <v>0</v>
      </c>
      <c r="I22">
        <f t="shared" si="3"/>
        <v>10.263667997999999</v>
      </c>
      <c r="J22">
        <f t="shared" si="0"/>
        <v>12.51787504</v>
      </c>
      <c r="K22">
        <f t="shared" si="1"/>
        <v>3.7207999998400965E-5</v>
      </c>
    </row>
    <row r="23" spans="1:11" x14ac:dyDescent="0.2">
      <c r="A23" s="1">
        <v>41296</v>
      </c>
      <c r="B23" s="2">
        <f t="shared" si="2"/>
        <v>4</v>
      </c>
      <c r="C23">
        <v>10.263630790000001</v>
      </c>
      <c r="D23">
        <v>0</v>
      </c>
      <c r="E23">
        <v>1.782996794</v>
      </c>
      <c r="F23">
        <v>8.4739202549999995</v>
      </c>
      <c r="G23">
        <v>7.5326745859999997</v>
      </c>
      <c r="H23">
        <v>0</v>
      </c>
      <c r="I23">
        <f t="shared" si="3"/>
        <v>8.4806339959999999</v>
      </c>
      <c r="J23">
        <f t="shared" si="0"/>
        <v>10.263630790000001</v>
      </c>
      <c r="K23">
        <f t="shared" si="1"/>
        <v>6.7137410000004394E-3</v>
      </c>
    </row>
    <row r="24" spans="1:11" x14ac:dyDescent="0.2">
      <c r="A24" s="1">
        <v>41297</v>
      </c>
      <c r="B24" s="2">
        <f t="shared" si="2"/>
        <v>5</v>
      </c>
      <c r="C24">
        <v>8.4739202549999995</v>
      </c>
      <c r="D24">
        <v>19.600000000000001</v>
      </c>
      <c r="E24">
        <v>2.9549976650000001</v>
      </c>
      <c r="F24">
        <v>24.757358060000001</v>
      </c>
      <c r="G24">
        <v>7.3756634559999998</v>
      </c>
      <c r="H24">
        <v>0</v>
      </c>
      <c r="I24">
        <f t="shared" si="3"/>
        <v>25.11892259</v>
      </c>
      <c r="J24">
        <f t="shared" si="0"/>
        <v>28.073920255000001</v>
      </c>
      <c r="K24">
        <f t="shared" si="1"/>
        <v>0.361564529999999</v>
      </c>
    </row>
    <row r="25" spans="1:11" x14ac:dyDescent="0.2">
      <c r="A25" s="1">
        <v>41298</v>
      </c>
      <c r="B25" s="2">
        <f t="shared" si="2"/>
        <v>5</v>
      </c>
      <c r="C25">
        <v>24.757358060000001</v>
      </c>
      <c r="D25">
        <v>0</v>
      </c>
      <c r="E25">
        <v>1.868514883</v>
      </c>
      <c r="F25">
        <v>22.884012819999999</v>
      </c>
      <c r="G25">
        <v>7.1743965520000001</v>
      </c>
      <c r="H25">
        <v>0</v>
      </c>
      <c r="I25">
        <f t="shared" si="3"/>
        <v>22.888843177000002</v>
      </c>
      <c r="J25">
        <f t="shared" si="0"/>
        <v>24.757358060000001</v>
      </c>
      <c r="K25">
        <f t="shared" si="1"/>
        <v>4.8303570000030049E-3</v>
      </c>
    </row>
    <row r="26" spans="1:11" x14ac:dyDescent="0.2">
      <c r="A26" s="1">
        <v>41299</v>
      </c>
      <c r="B26" s="2">
        <f t="shared" si="2"/>
        <v>5</v>
      </c>
      <c r="C26">
        <v>22.884012819999999</v>
      </c>
      <c r="D26">
        <v>0</v>
      </c>
      <c r="E26">
        <v>2.272890538</v>
      </c>
      <c r="F26">
        <v>19.8215276</v>
      </c>
      <c r="G26">
        <v>7.500333715</v>
      </c>
      <c r="H26">
        <v>0</v>
      </c>
      <c r="I26">
        <f t="shared" si="3"/>
        <v>20.611122282</v>
      </c>
      <c r="J26">
        <f t="shared" si="0"/>
        <v>22.884012819999999</v>
      </c>
      <c r="K26">
        <f t="shared" si="1"/>
        <v>0.7895946820000006</v>
      </c>
    </row>
    <row r="27" spans="1:11" x14ac:dyDescent="0.2">
      <c r="A27" s="1">
        <v>41300</v>
      </c>
      <c r="B27" s="2">
        <f t="shared" si="2"/>
        <v>5</v>
      </c>
      <c r="C27">
        <v>19.8215276</v>
      </c>
      <c r="D27">
        <v>0</v>
      </c>
      <c r="E27">
        <v>2.0048549759999998</v>
      </c>
      <c r="F27">
        <v>17.538126999999999</v>
      </c>
      <c r="G27">
        <v>7.6422529199999998</v>
      </c>
      <c r="H27">
        <v>0</v>
      </c>
      <c r="I27">
        <f t="shared" si="3"/>
        <v>17.816672623999999</v>
      </c>
      <c r="J27">
        <f t="shared" si="0"/>
        <v>19.8215276</v>
      </c>
      <c r="K27">
        <f t="shared" si="1"/>
        <v>0.27854562399999949</v>
      </c>
    </row>
    <row r="28" spans="1:11" x14ac:dyDescent="0.2">
      <c r="A28" s="1">
        <v>41301</v>
      </c>
      <c r="B28" s="2">
        <f t="shared" si="2"/>
        <v>5</v>
      </c>
      <c r="C28">
        <v>17.538126999999999</v>
      </c>
      <c r="D28">
        <v>0</v>
      </c>
      <c r="E28">
        <v>3.7877231199999999</v>
      </c>
      <c r="F28">
        <v>13.70630942</v>
      </c>
      <c r="G28">
        <v>7.9070049439999996</v>
      </c>
      <c r="H28">
        <v>0</v>
      </c>
      <c r="I28">
        <f t="shared" si="3"/>
        <v>13.75040388</v>
      </c>
      <c r="J28">
        <f t="shared" si="0"/>
        <v>17.538126999999999</v>
      </c>
      <c r="K28">
        <f t="shared" si="1"/>
        <v>4.4094460000000169E-2</v>
      </c>
    </row>
    <row r="29" spans="1:11" x14ac:dyDescent="0.2">
      <c r="A29" s="1">
        <v>41302</v>
      </c>
      <c r="B29" s="2">
        <f t="shared" si="2"/>
        <v>5</v>
      </c>
      <c r="C29">
        <v>13.70630942</v>
      </c>
      <c r="D29">
        <v>0</v>
      </c>
      <c r="E29">
        <v>3.4445397309999999</v>
      </c>
      <c r="F29">
        <v>10.211569880000001</v>
      </c>
      <c r="G29">
        <v>6.2684847640000001</v>
      </c>
      <c r="H29">
        <v>0</v>
      </c>
      <c r="I29">
        <f t="shared" si="3"/>
        <v>10.261769689000001</v>
      </c>
      <c r="J29">
        <f t="shared" si="0"/>
        <v>13.70630942</v>
      </c>
      <c r="K29">
        <f t="shared" si="1"/>
        <v>5.0199809000000428E-2</v>
      </c>
    </row>
    <row r="30" spans="1:11" x14ac:dyDescent="0.2">
      <c r="A30" s="1">
        <v>41303</v>
      </c>
      <c r="B30" s="2">
        <f t="shared" si="2"/>
        <v>6</v>
      </c>
      <c r="C30">
        <v>10.211569880000001</v>
      </c>
      <c r="D30">
        <v>15.7</v>
      </c>
      <c r="E30">
        <v>2.4023774179999999</v>
      </c>
      <c r="F30">
        <v>22.821703729999999</v>
      </c>
      <c r="G30">
        <v>8.1341472830000008</v>
      </c>
      <c r="H30">
        <v>0</v>
      </c>
      <c r="I30">
        <f t="shared" si="3"/>
        <v>23.509192462000001</v>
      </c>
      <c r="J30">
        <f t="shared" si="0"/>
        <v>25.911569880000002</v>
      </c>
      <c r="K30">
        <f t="shared" si="1"/>
        <v>0.68748873200000205</v>
      </c>
    </row>
    <row r="31" spans="1:11" x14ac:dyDescent="0.2">
      <c r="A31" s="1">
        <v>41304</v>
      </c>
      <c r="B31" s="2">
        <f t="shared" si="2"/>
        <v>6</v>
      </c>
      <c r="C31">
        <v>22.821703729999999</v>
      </c>
      <c r="D31">
        <v>0</v>
      </c>
      <c r="E31">
        <v>3.0634805250000001</v>
      </c>
      <c r="F31">
        <v>19.75629275</v>
      </c>
      <c r="G31">
        <v>7.1213423779999996</v>
      </c>
      <c r="H31">
        <v>0</v>
      </c>
      <c r="I31">
        <f t="shared" si="3"/>
        <v>19.758223205</v>
      </c>
      <c r="J31">
        <f t="shared" si="0"/>
        <v>22.821703729999999</v>
      </c>
      <c r="K31">
        <f t="shared" si="1"/>
        <v>1.9304550000001086E-3</v>
      </c>
    </row>
    <row r="32" spans="1:11" x14ac:dyDescent="0.2">
      <c r="A32" s="1">
        <v>41305</v>
      </c>
      <c r="B32" s="2">
        <f t="shared" si="2"/>
        <v>6</v>
      </c>
      <c r="C32">
        <v>19.75629275</v>
      </c>
      <c r="D32">
        <v>0</v>
      </c>
      <c r="E32">
        <v>1.29979358</v>
      </c>
      <c r="F32">
        <v>18.429724700000001</v>
      </c>
      <c r="G32">
        <v>8.5765533559999998</v>
      </c>
      <c r="H32">
        <v>0</v>
      </c>
      <c r="I32">
        <f t="shared" si="3"/>
        <v>18.456499170000001</v>
      </c>
      <c r="J32">
        <f t="shared" si="0"/>
        <v>19.75629275</v>
      </c>
      <c r="K32">
        <f t="shared" si="1"/>
        <v>2.677446999999944E-2</v>
      </c>
    </row>
    <row r="33" spans="1:11" x14ac:dyDescent="0.2">
      <c r="A33" s="1">
        <v>41306</v>
      </c>
      <c r="B33" s="2">
        <f t="shared" si="2"/>
        <v>6</v>
      </c>
      <c r="C33">
        <v>18.429724700000001</v>
      </c>
      <c r="D33">
        <v>0</v>
      </c>
      <c r="E33">
        <v>3.5873824089999999</v>
      </c>
      <c r="F33">
        <v>14.82625869</v>
      </c>
      <c r="G33">
        <v>7.6613071079999999</v>
      </c>
      <c r="H33">
        <v>0</v>
      </c>
      <c r="I33">
        <f t="shared" si="3"/>
        <v>14.842342291000001</v>
      </c>
      <c r="J33">
        <f t="shared" si="0"/>
        <v>18.429724700000001</v>
      </c>
      <c r="K33">
        <f t="shared" si="1"/>
        <v>1.6083601000001835E-2</v>
      </c>
    </row>
    <row r="34" spans="1:11" x14ac:dyDescent="0.2">
      <c r="A34" s="1">
        <v>41307</v>
      </c>
      <c r="B34" s="2">
        <f t="shared" si="2"/>
        <v>6</v>
      </c>
      <c r="C34">
        <v>14.82625869</v>
      </c>
      <c r="D34">
        <v>0</v>
      </c>
      <c r="E34">
        <v>3.224123852</v>
      </c>
      <c r="F34">
        <v>10.47721754</v>
      </c>
      <c r="G34">
        <v>7.6185254960000002</v>
      </c>
      <c r="H34">
        <v>0</v>
      </c>
      <c r="I34">
        <f t="shared" si="3"/>
        <v>11.602134838</v>
      </c>
      <c r="J34">
        <f t="shared" si="0"/>
        <v>14.82625869</v>
      </c>
      <c r="K34">
        <f t="shared" si="1"/>
        <v>1.1249172979999997</v>
      </c>
    </row>
    <row r="35" spans="1:11" x14ac:dyDescent="0.2">
      <c r="A35" s="1">
        <v>41308</v>
      </c>
      <c r="B35" s="2">
        <f t="shared" si="2"/>
        <v>7</v>
      </c>
      <c r="C35">
        <v>10.47721754</v>
      </c>
      <c r="D35">
        <v>9.9</v>
      </c>
      <c r="E35">
        <v>1.5783946129999999</v>
      </c>
      <c r="F35">
        <v>18.69548181</v>
      </c>
      <c r="G35">
        <v>7.2075221100000002</v>
      </c>
      <c r="H35">
        <v>0</v>
      </c>
      <c r="I35">
        <f t="shared" si="3"/>
        <v>18.798822927</v>
      </c>
      <c r="J35">
        <f t="shared" si="0"/>
        <v>20.37721754</v>
      </c>
      <c r="K35">
        <f t="shared" si="1"/>
        <v>0.10334111699999937</v>
      </c>
    </row>
    <row r="36" spans="1:11" x14ac:dyDescent="0.2">
      <c r="A36" s="1">
        <v>41309</v>
      </c>
      <c r="B36" s="2">
        <f t="shared" si="2"/>
        <v>7</v>
      </c>
      <c r="C36">
        <v>18.69548181</v>
      </c>
      <c r="D36">
        <v>0</v>
      </c>
      <c r="E36">
        <v>2.6112524920000002</v>
      </c>
      <c r="F36">
        <v>16.06753737</v>
      </c>
      <c r="G36">
        <v>7.4476529439999997</v>
      </c>
      <c r="H36">
        <v>0</v>
      </c>
      <c r="I36">
        <f t="shared" si="3"/>
        <v>16.084229317999998</v>
      </c>
      <c r="J36">
        <f t="shared" si="0"/>
        <v>18.69548181</v>
      </c>
      <c r="K36">
        <f t="shared" si="1"/>
        <v>1.6691947999998291E-2</v>
      </c>
    </row>
    <row r="37" spans="1:11" x14ac:dyDescent="0.2">
      <c r="A37" s="1">
        <v>41310</v>
      </c>
      <c r="B37" s="2">
        <f t="shared" si="2"/>
        <v>7</v>
      </c>
      <c r="C37">
        <v>16.06753737</v>
      </c>
      <c r="D37">
        <v>0</v>
      </c>
      <c r="E37">
        <v>6.3169547259999996</v>
      </c>
      <c r="F37">
        <v>9.7464583299999994</v>
      </c>
      <c r="G37">
        <v>7.1525691800000004</v>
      </c>
      <c r="H37">
        <v>0</v>
      </c>
      <c r="I37">
        <f t="shared" si="3"/>
        <v>9.7505826440000014</v>
      </c>
      <c r="J37">
        <f t="shared" si="0"/>
        <v>16.06753737</v>
      </c>
      <c r="K37">
        <f t="shared" si="1"/>
        <v>4.1243140000020162E-3</v>
      </c>
    </row>
    <row r="38" spans="1:11" x14ac:dyDescent="0.2">
      <c r="A38" s="1">
        <v>41311</v>
      </c>
      <c r="B38" s="2">
        <f t="shared" si="2"/>
        <v>7</v>
      </c>
      <c r="C38">
        <v>9.7464583299999994</v>
      </c>
      <c r="D38">
        <v>0</v>
      </c>
      <c r="E38">
        <v>4.0077206419999998</v>
      </c>
      <c r="F38">
        <v>5.7250590739999998</v>
      </c>
      <c r="G38">
        <v>7.1420788799999997</v>
      </c>
      <c r="H38">
        <v>0</v>
      </c>
      <c r="I38">
        <f t="shared" si="3"/>
        <v>5.7387376879999996</v>
      </c>
      <c r="J38">
        <f t="shared" si="0"/>
        <v>9.7464583299999994</v>
      </c>
      <c r="K38">
        <f t="shared" si="1"/>
        <v>1.3678613999999811E-2</v>
      </c>
    </row>
    <row r="39" spans="1:11" x14ac:dyDescent="0.2">
      <c r="A39" s="1">
        <v>41312</v>
      </c>
      <c r="B39" s="2">
        <f t="shared" si="2"/>
        <v>8</v>
      </c>
      <c r="C39">
        <v>5.7250590739999998</v>
      </c>
      <c r="D39">
        <v>59.2</v>
      </c>
      <c r="E39">
        <v>11.65433687</v>
      </c>
      <c r="F39">
        <v>51.318500700000001</v>
      </c>
      <c r="G39">
        <v>7.3288573770000003</v>
      </c>
      <c r="H39">
        <v>1</v>
      </c>
      <c r="I39">
        <f t="shared" si="3"/>
        <v>53.270722204000002</v>
      </c>
      <c r="J39">
        <f t="shared" si="0"/>
        <v>64.925059074000004</v>
      </c>
      <c r="K39">
        <f t="shared" si="1"/>
        <v>1.9522215040000006</v>
      </c>
    </row>
    <row r="40" spans="1:11" x14ac:dyDescent="0.2">
      <c r="A40" s="1">
        <v>41313</v>
      </c>
      <c r="B40" s="2">
        <f t="shared" si="2"/>
        <v>8</v>
      </c>
      <c r="C40">
        <v>51.318500700000001</v>
      </c>
      <c r="D40">
        <v>0</v>
      </c>
      <c r="E40">
        <v>13.95554621</v>
      </c>
      <c r="F40">
        <v>37.24389231</v>
      </c>
      <c r="G40">
        <v>7.6568927320000002</v>
      </c>
      <c r="H40">
        <v>1</v>
      </c>
      <c r="I40">
        <f t="shared" si="3"/>
        <v>37.36295449</v>
      </c>
      <c r="J40">
        <f t="shared" si="0"/>
        <v>51.318500700000001</v>
      </c>
      <c r="K40">
        <f t="shared" si="1"/>
        <v>0.11906218000000024</v>
      </c>
    </row>
    <row r="41" spans="1:11" x14ac:dyDescent="0.2">
      <c r="A41" s="1">
        <v>41314</v>
      </c>
      <c r="B41" s="2">
        <f t="shared" si="2"/>
        <v>8</v>
      </c>
      <c r="C41">
        <v>37.24389231</v>
      </c>
      <c r="D41">
        <v>0</v>
      </c>
      <c r="E41">
        <v>7.9581586020000001</v>
      </c>
      <c r="F41">
        <v>29.268631509999999</v>
      </c>
      <c r="G41">
        <v>8.1931869630000005</v>
      </c>
      <c r="H41">
        <v>1</v>
      </c>
      <c r="I41">
        <f t="shared" si="3"/>
        <v>29.285733707999999</v>
      </c>
      <c r="J41">
        <f t="shared" si="0"/>
        <v>37.24389231</v>
      </c>
      <c r="K41">
        <f t="shared" si="1"/>
        <v>1.7102197999999902E-2</v>
      </c>
    </row>
    <row r="42" spans="1:11" x14ac:dyDescent="0.2">
      <c r="A42" s="1">
        <v>41315</v>
      </c>
      <c r="B42" s="2">
        <f t="shared" si="2"/>
        <v>8</v>
      </c>
      <c r="C42">
        <v>29.268631509999999</v>
      </c>
      <c r="D42">
        <v>0</v>
      </c>
      <c r="E42">
        <v>1.146350395</v>
      </c>
      <c r="F42">
        <v>28.117687969999999</v>
      </c>
      <c r="G42">
        <v>9.1176497639999994</v>
      </c>
      <c r="H42">
        <v>0</v>
      </c>
      <c r="I42">
        <f t="shared" si="3"/>
        <v>28.122281115</v>
      </c>
      <c r="J42">
        <f t="shared" si="0"/>
        <v>29.268631509999999</v>
      </c>
      <c r="K42">
        <f t="shared" si="1"/>
        <v>4.5931450000011864E-3</v>
      </c>
    </row>
    <row r="43" spans="1:11" x14ac:dyDescent="0.2">
      <c r="A43" s="1">
        <v>41316</v>
      </c>
      <c r="B43" s="2">
        <f t="shared" si="2"/>
        <v>8</v>
      </c>
      <c r="C43">
        <v>28.117687969999999</v>
      </c>
      <c r="D43">
        <v>0</v>
      </c>
      <c r="E43">
        <v>2.1559189750000001</v>
      </c>
      <c r="F43">
        <v>25.947338269999999</v>
      </c>
      <c r="G43">
        <v>8.9453480719999998</v>
      </c>
      <c r="H43">
        <v>0</v>
      </c>
      <c r="I43">
        <f t="shared" si="3"/>
        <v>25.961768995</v>
      </c>
      <c r="J43">
        <f t="shared" si="0"/>
        <v>28.117687969999999</v>
      </c>
      <c r="K43">
        <f t="shared" si="1"/>
        <v>1.4430725000000422E-2</v>
      </c>
    </row>
    <row r="44" spans="1:11" x14ac:dyDescent="0.2">
      <c r="A44" s="1">
        <v>41317</v>
      </c>
      <c r="B44" s="2">
        <f t="shared" si="2"/>
        <v>8</v>
      </c>
      <c r="C44">
        <v>25.947338269999999</v>
      </c>
      <c r="D44">
        <v>0</v>
      </c>
      <c r="E44">
        <v>4.942618993</v>
      </c>
      <c r="F44">
        <v>20.855228879999999</v>
      </c>
      <c r="G44">
        <v>8.7151165309999996</v>
      </c>
      <c r="H44">
        <v>0</v>
      </c>
      <c r="I44">
        <f t="shared" si="3"/>
        <v>21.004719277</v>
      </c>
      <c r="J44">
        <f t="shared" si="0"/>
        <v>25.947338269999999</v>
      </c>
      <c r="K44">
        <f t="shared" si="1"/>
        <v>0.149490397000001</v>
      </c>
    </row>
    <row r="45" spans="1:11" x14ac:dyDescent="0.2">
      <c r="A45" s="1">
        <v>41318</v>
      </c>
      <c r="B45" s="2">
        <f t="shared" si="2"/>
        <v>8</v>
      </c>
      <c r="C45">
        <v>20.855228879999999</v>
      </c>
      <c r="D45">
        <v>0</v>
      </c>
      <c r="E45">
        <v>1.27371199</v>
      </c>
      <c r="F45">
        <v>18.593046699999999</v>
      </c>
      <c r="G45">
        <v>8.2970671589999991</v>
      </c>
      <c r="H45">
        <v>0</v>
      </c>
      <c r="I45">
        <f t="shared" si="3"/>
        <v>19.58151689</v>
      </c>
      <c r="J45">
        <f t="shared" si="0"/>
        <v>20.855228879999999</v>
      </c>
      <c r="K45">
        <f t="shared" si="1"/>
        <v>0.98847019000000103</v>
      </c>
    </row>
    <row r="46" spans="1:11" x14ac:dyDescent="0.2">
      <c r="A46" s="1">
        <v>41319</v>
      </c>
      <c r="B46" s="2">
        <f t="shared" si="2"/>
        <v>8</v>
      </c>
      <c r="C46">
        <v>18.593046699999999</v>
      </c>
      <c r="D46">
        <v>0</v>
      </c>
      <c r="E46">
        <v>1.6433429690000001</v>
      </c>
      <c r="F46">
        <v>16.944904560000001</v>
      </c>
      <c r="G46">
        <v>7.981937727</v>
      </c>
      <c r="H46">
        <v>0</v>
      </c>
      <c r="I46">
        <f t="shared" si="3"/>
        <v>16.949703731</v>
      </c>
      <c r="J46">
        <f t="shared" si="0"/>
        <v>18.593046699999999</v>
      </c>
      <c r="K46">
        <f t="shared" si="1"/>
        <v>4.7991709999983811E-3</v>
      </c>
    </row>
    <row r="47" spans="1:11" x14ac:dyDescent="0.2">
      <c r="A47" s="1">
        <v>41320</v>
      </c>
      <c r="B47" s="2">
        <f t="shared" si="2"/>
        <v>8</v>
      </c>
      <c r="C47">
        <v>16.944904560000001</v>
      </c>
      <c r="D47">
        <v>0</v>
      </c>
      <c r="E47">
        <v>1.5694028470000001</v>
      </c>
      <c r="F47">
        <v>15.37543475</v>
      </c>
      <c r="G47">
        <v>7.9391408229999998</v>
      </c>
      <c r="H47">
        <v>0</v>
      </c>
      <c r="I47">
        <f t="shared" si="3"/>
        <v>15.375501713000002</v>
      </c>
      <c r="J47">
        <f t="shared" si="0"/>
        <v>16.944904560000001</v>
      </c>
      <c r="K47">
        <f t="shared" si="1"/>
        <v>6.6963000001862838E-5</v>
      </c>
    </row>
    <row r="48" spans="1:11" x14ac:dyDescent="0.2">
      <c r="A48" s="1">
        <v>41321</v>
      </c>
      <c r="B48" s="2">
        <f t="shared" si="2"/>
        <v>8</v>
      </c>
      <c r="C48">
        <v>15.37543475</v>
      </c>
      <c r="D48">
        <v>0</v>
      </c>
      <c r="E48">
        <v>1.64885028</v>
      </c>
      <c r="F48">
        <v>13.70437937</v>
      </c>
      <c r="G48">
        <v>8.2667629159999994</v>
      </c>
      <c r="H48">
        <v>0</v>
      </c>
      <c r="I48">
        <f t="shared" si="3"/>
        <v>13.726584470000001</v>
      </c>
      <c r="J48">
        <f t="shared" si="0"/>
        <v>15.37543475</v>
      </c>
      <c r="K48">
        <f t="shared" si="1"/>
        <v>2.2205100000000755E-2</v>
      </c>
    </row>
    <row r="49" spans="1:11" x14ac:dyDescent="0.2">
      <c r="A49" s="1">
        <v>41322</v>
      </c>
      <c r="B49" s="2">
        <f t="shared" si="2"/>
        <v>8</v>
      </c>
      <c r="C49">
        <v>13.70437937</v>
      </c>
      <c r="D49">
        <v>0</v>
      </c>
      <c r="E49">
        <v>1.9197165359999999</v>
      </c>
      <c r="F49">
        <v>11.6118668</v>
      </c>
      <c r="G49">
        <v>8.1619274179999994</v>
      </c>
      <c r="H49">
        <v>0</v>
      </c>
      <c r="I49">
        <f t="shared" si="3"/>
        <v>11.784662834000001</v>
      </c>
      <c r="J49">
        <f t="shared" si="0"/>
        <v>13.70437937</v>
      </c>
      <c r="K49">
        <f t="shared" si="1"/>
        <v>0.17279603400000099</v>
      </c>
    </row>
    <row r="50" spans="1:11" x14ac:dyDescent="0.2">
      <c r="A50" s="1">
        <v>41323</v>
      </c>
      <c r="B50" s="2">
        <f t="shared" si="2"/>
        <v>8</v>
      </c>
      <c r="C50">
        <v>11.6118668</v>
      </c>
      <c r="D50">
        <v>0</v>
      </c>
      <c r="E50">
        <v>2.3637521750000001</v>
      </c>
      <c r="F50">
        <v>9.1625455020000004</v>
      </c>
      <c r="G50">
        <v>8.1024315609999995</v>
      </c>
      <c r="H50">
        <v>0</v>
      </c>
      <c r="I50">
        <f t="shared" si="3"/>
        <v>9.2481146249999995</v>
      </c>
      <c r="J50">
        <f t="shared" si="0"/>
        <v>11.6118668</v>
      </c>
      <c r="K50">
        <f t="shared" si="1"/>
        <v>8.5569122999999081E-2</v>
      </c>
    </row>
    <row r="51" spans="1:11" x14ac:dyDescent="0.2">
      <c r="A51" s="1">
        <v>41324</v>
      </c>
      <c r="B51" s="2">
        <f t="shared" si="2"/>
        <v>8</v>
      </c>
      <c r="C51">
        <v>9.1625455020000004</v>
      </c>
      <c r="D51">
        <v>0</v>
      </c>
      <c r="E51">
        <v>2.5132496080000002</v>
      </c>
      <c r="F51">
        <v>6.4348140750000002</v>
      </c>
      <c r="G51">
        <v>8.2044935330000008</v>
      </c>
      <c r="H51">
        <v>0</v>
      </c>
      <c r="I51">
        <f t="shared" si="3"/>
        <v>6.6492958939999998</v>
      </c>
      <c r="J51">
        <f t="shared" si="0"/>
        <v>9.1625455020000004</v>
      </c>
      <c r="K51">
        <f t="shared" si="1"/>
        <v>0.21448181899999952</v>
      </c>
    </row>
    <row r="52" spans="1:11" x14ac:dyDescent="0.2">
      <c r="A52" s="1">
        <v>41325</v>
      </c>
      <c r="B52" s="2">
        <f t="shared" si="2"/>
        <v>9</v>
      </c>
      <c r="C52">
        <v>6.4348140750000002</v>
      </c>
      <c r="D52">
        <v>10.6</v>
      </c>
      <c r="E52">
        <v>3.6300685659999998</v>
      </c>
      <c r="F52">
        <v>13.170838460000001</v>
      </c>
      <c r="G52">
        <v>7.9612688619999998</v>
      </c>
      <c r="H52">
        <v>0</v>
      </c>
      <c r="I52">
        <f t="shared" si="3"/>
        <v>13.404745509</v>
      </c>
      <c r="J52">
        <f t="shared" si="0"/>
        <v>17.034814075</v>
      </c>
      <c r="K52">
        <f t="shared" si="1"/>
        <v>0.23390704899999903</v>
      </c>
    </row>
    <row r="53" spans="1:11" x14ac:dyDescent="0.2">
      <c r="A53" s="1">
        <v>41326</v>
      </c>
      <c r="B53" s="2">
        <f t="shared" si="2"/>
        <v>9</v>
      </c>
      <c r="C53">
        <v>13.170838460000001</v>
      </c>
      <c r="D53">
        <v>0</v>
      </c>
      <c r="E53">
        <v>1.818807971</v>
      </c>
      <c r="F53">
        <v>11.35145676</v>
      </c>
      <c r="G53">
        <v>8.0057131269999999</v>
      </c>
      <c r="H53">
        <v>0</v>
      </c>
      <c r="I53">
        <f t="shared" si="3"/>
        <v>11.352030489000001</v>
      </c>
      <c r="J53">
        <f t="shared" si="0"/>
        <v>13.170838460000001</v>
      </c>
      <c r="K53">
        <f t="shared" si="1"/>
        <v>5.7372900000096649E-4</v>
      </c>
    </row>
    <row r="54" spans="1:11" x14ac:dyDescent="0.2">
      <c r="A54" s="1">
        <v>41327</v>
      </c>
      <c r="B54" s="2">
        <f t="shared" si="2"/>
        <v>10</v>
      </c>
      <c r="C54">
        <v>11.35145676</v>
      </c>
      <c r="D54">
        <v>10.4</v>
      </c>
      <c r="E54">
        <v>1.3746897570000001</v>
      </c>
      <c r="F54">
        <v>20.37669481</v>
      </c>
      <c r="G54">
        <v>7.9518749529999999</v>
      </c>
      <c r="H54">
        <v>0</v>
      </c>
      <c r="I54">
        <f t="shared" si="3"/>
        <v>20.376767003000001</v>
      </c>
      <c r="J54">
        <f t="shared" si="0"/>
        <v>21.75145676</v>
      </c>
      <c r="K54">
        <f t="shared" si="1"/>
        <v>7.2193000001163909E-5</v>
      </c>
    </row>
    <row r="55" spans="1:11" x14ac:dyDescent="0.2">
      <c r="A55" s="1">
        <v>41328</v>
      </c>
      <c r="B55" s="2">
        <f t="shared" si="2"/>
        <v>10</v>
      </c>
      <c r="C55">
        <v>20.37669481</v>
      </c>
      <c r="D55">
        <v>0</v>
      </c>
      <c r="E55">
        <v>1.364667281</v>
      </c>
      <c r="F55">
        <v>18.976395579999998</v>
      </c>
      <c r="G55">
        <v>8.3637904850000009</v>
      </c>
      <c r="H55">
        <v>0</v>
      </c>
      <c r="I55">
        <f t="shared" si="3"/>
        <v>19.012027529000001</v>
      </c>
      <c r="J55">
        <f t="shared" si="0"/>
        <v>20.37669481</v>
      </c>
      <c r="K55">
        <f t="shared" si="1"/>
        <v>3.563194900000255E-2</v>
      </c>
    </row>
    <row r="56" spans="1:11" x14ac:dyDescent="0.2">
      <c r="A56" s="1">
        <v>41329</v>
      </c>
      <c r="B56" s="2">
        <f t="shared" si="2"/>
        <v>10</v>
      </c>
      <c r="C56">
        <v>18.976395579999998</v>
      </c>
      <c r="D56">
        <v>0</v>
      </c>
      <c r="E56">
        <v>4.8731141769999997</v>
      </c>
      <c r="F56">
        <v>14.026807160000001</v>
      </c>
      <c r="G56">
        <v>8.1788802940000007</v>
      </c>
      <c r="H56">
        <v>0</v>
      </c>
      <c r="I56">
        <f t="shared" si="3"/>
        <v>14.103281402999999</v>
      </c>
      <c r="J56">
        <f t="shared" si="0"/>
        <v>18.976395579999998</v>
      </c>
      <c r="K56">
        <f t="shared" si="1"/>
        <v>7.6474242999998054E-2</v>
      </c>
    </row>
    <row r="57" spans="1:11" x14ac:dyDescent="0.2">
      <c r="A57" s="1">
        <v>41330</v>
      </c>
      <c r="B57" s="2">
        <f t="shared" si="2"/>
        <v>10</v>
      </c>
      <c r="C57">
        <v>14.026807160000001</v>
      </c>
      <c r="D57">
        <v>0</v>
      </c>
      <c r="E57">
        <v>1.6060523680000001</v>
      </c>
      <c r="F57">
        <v>12.356380980000001</v>
      </c>
      <c r="G57">
        <v>8.2986414540000002</v>
      </c>
      <c r="H57">
        <v>0</v>
      </c>
      <c r="I57">
        <f t="shared" si="3"/>
        <v>12.420754792</v>
      </c>
      <c r="J57">
        <f t="shared" si="0"/>
        <v>14.026807160000001</v>
      </c>
      <c r="K57">
        <f t="shared" si="1"/>
        <v>6.4373811999999475E-2</v>
      </c>
    </row>
    <row r="58" spans="1:11" x14ac:dyDescent="0.2">
      <c r="A58" s="1">
        <v>41331</v>
      </c>
      <c r="B58" s="2">
        <f t="shared" si="2"/>
        <v>10</v>
      </c>
      <c r="C58">
        <v>12.356380980000001</v>
      </c>
      <c r="D58">
        <v>0</v>
      </c>
      <c r="E58">
        <v>3.0658802540000001</v>
      </c>
      <c r="F58">
        <v>9.2891499569999993</v>
      </c>
      <c r="G58">
        <v>8.1659544579999999</v>
      </c>
      <c r="H58">
        <v>0</v>
      </c>
      <c r="I58">
        <f t="shared" si="3"/>
        <v>9.2905007260000012</v>
      </c>
      <c r="J58">
        <f t="shared" si="0"/>
        <v>12.356380980000001</v>
      </c>
      <c r="K58">
        <f t="shared" si="1"/>
        <v>1.3507690000018613E-3</v>
      </c>
    </row>
    <row r="59" spans="1:11" x14ac:dyDescent="0.2">
      <c r="A59" s="1">
        <v>41332</v>
      </c>
      <c r="B59" s="2">
        <f t="shared" si="2"/>
        <v>11</v>
      </c>
      <c r="C59">
        <v>9.2891499569999993</v>
      </c>
      <c r="D59">
        <v>19.7</v>
      </c>
      <c r="E59">
        <v>1.967770834</v>
      </c>
      <c r="F59">
        <v>26.587999809999999</v>
      </c>
      <c r="G59">
        <v>8.4507986469999992</v>
      </c>
      <c r="H59">
        <v>0</v>
      </c>
      <c r="I59">
        <f t="shared" si="3"/>
        <v>27.021379122999999</v>
      </c>
      <c r="J59">
        <f t="shared" si="0"/>
        <v>28.989149956999999</v>
      </c>
      <c r="K59">
        <f t="shared" si="1"/>
        <v>0.43337931299999966</v>
      </c>
    </row>
    <row r="60" spans="1:11" x14ac:dyDescent="0.2">
      <c r="A60" s="1">
        <v>41333</v>
      </c>
      <c r="B60" s="2">
        <f t="shared" si="2"/>
        <v>11</v>
      </c>
      <c r="C60">
        <v>26.587999809999999</v>
      </c>
      <c r="D60">
        <v>0</v>
      </c>
      <c r="E60">
        <v>1.1123972179999999</v>
      </c>
      <c r="F60">
        <v>24.646036930000001</v>
      </c>
      <c r="G60">
        <v>8.5020501209999999</v>
      </c>
      <c r="H60">
        <v>0</v>
      </c>
      <c r="I60">
        <f t="shared" si="3"/>
        <v>25.475602592000001</v>
      </c>
      <c r="J60">
        <f t="shared" si="0"/>
        <v>26.587999809999999</v>
      </c>
      <c r="K60">
        <f t="shared" si="1"/>
        <v>0.82956566200000026</v>
      </c>
    </row>
    <row r="61" spans="1:11" x14ac:dyDescent="0.2">
      <c r="A61" s="1">
        <v>41334</v>
      </c>
      <c r="B61" s="2">
        <f t="shared" si="2"/>
        <v>11</v>
      </c>
      <c r="C61">
        <v>24.646036930000001</v>
      </c>
      <c r="D61">
        <v>0</v>
      </c>
      <c r="E61">
        <v>2.7518471610000002</v>
      </c>
      <c r="F61">
        <v>21.626589209999999</v>
      </c>
      <c r="G61">
        <v>8.8171092770000001</v>
      </c>
      <c r="H61">
        <v>0</v>
      </c>
      <c r="I61">
        <f t="shared" si="3"/>
        <v>21.894189769</v>
      </c>
      <c r="J61">
        <f t="shared" si="0"/>
        <v>24.646036930000001</v>
      </c>
      <c r="K61">
        <f t="shared" si="1"/>
        <v>0.26760055900000168</v>
      </c>
    </row>
    <row r="62" spans="1:11" x14ac:dyDescent="0.2">
      <c r="A62" s="1">
        <v>41335</v>
      </c>
      <c r="B62" s="2">
        <f t="shared" si="2"/>
        <v>11</v>
      </c>
      <c r="C62">
        <v>21.626589209999999</v>
      </c>
      <c r="D62">
        <v>0</v>
      </c>
      <c r="E62">
        <v>1.1503754580000001</v>
      </c>
      <c r="F62">
        <v>19.49697123</v>
      </c>
      <c r="G62">
        <v>8.4877101869999994</v>
      </c>
      <c r="H62">
        <v>0</v>
      </c>
      <c r="I62">
        <f t="shared" si="3"/>
        <v>20.476213752</v>
      </c>
      <c r="J62">
        <f t="shared" si="0"/>
        <v>21.626589209999999</v>
      </c>
      <c r="K62">
        <f t="shared" si="1"/>
        <v>0.97924252199999984</v>
      </c>
    </row>
    <row r="63" spans="1:11" x14ac:dyDescent="0.2">
      <c r="A63" s="1">
        <v>41336</v>
      </c>
      <c r="B63" s="2">
        <f t="shared" si="2"/>
        <v>12</v>
      </c>
      <c r="C63">
        <v>19.49697123</v>
      </c>
      <c r="D63">
        <v>10.5</v>
      </c>
      <c r="E63">
        <v>4.3824627080000003</v>
      </c>
      <c r="F63">
        <v>24.975026939999999</v>
      </c>
      <c r="G63">
        <v>7.595878989</v>
      </c>
      <c r="H63">
        <v>0</v>
      </c>
      <c r="I63">
        <f t="shared" si="3"/>
        <v>25.614508522000001</v>
      </c>
      <c r="J63">
        <f t="shared" si="0"/>
        <v>29.99697123</v>
      </c>
      <c r="K63">
        <f t="shared" si="1"/>
        <v>0.63948158200000194</v>
      </c>
    </row>
    <row r="64" spans="1:11" x14ac:dyDescent="0.2">
      <c r="A64" s="1">
        <v>41337</v>
      </c>
      <c r="B64" s="2">
        <f t="shared" si="2"/>
        <v>12</v>
      </c>
      <c r="C64">
        <v>24.975026939999999</v>
      </c>
      <c r="D64">
        <v>0</v>
      </c>
      <c r="E64">
        <v>3.5697008719999999</v>
      </c>
      <c r="F64">
        <v>20.93097375</v>
      </c>
      <c r="G64">
        <v>8.2132969150000008</v>
      </c>
      <c r="H64">
        <v>0</v>
      </c>
      <c r="I64">
        <f t="shared" si="3"/>
        <v>21.405326068000001</v>
      </c>
      <c r="J64">
        <f t="shared" si="0"/>
        <v>24.975026939999999</v>
      </c>
      <c r="K64">
        <f t="shared" si="1"/>
        <v>0.47435231800000111</v>
      </c>
    </row>
    <row r="65" spans="1:11" x14ac:dyDescent="0.2">
      <c r="A65" s="1">
        <v>41338</v>
      </c>
      <c r="B65" s="2">
        <f t="shared" si="2"/>
        <v>12</v>
      </c>
      <c r="C65">
        <v>20.93097375</v>
      </c>
      <c r="D65">
        <v>0</v>
      </c>
      <c r="E65">
        <v>3.3810646169999998</v>
      </c>
      <c r="F65">
        <v>17.295522049999999</v>
      </c>
      <c r="G65">
        <v>7.8656471359999998</v>
      </c>
      <c r="H65">
        <v>0</v>
      </c>
      <c r="I65">
        <f t="shared" si="3"/>
        <v>17.549909133</v>
      </c>
      <c r="J65">
        <f t="shared" si="0"/>
        <v>20.93097375</v>
      </c>
      <c r="K65">
        <f t="shared" si="1"/>
        <v>0.25438708300000101</v>
      </c>
    </row>
    <row r="66" spans="1:11" x14ac:dyDescent="0.2">
      <c r="A66" s="1">
        <v>41339</v>
      </c>
      <c r="B66" s="2">
        <f t="shared" si="2"/>
        <v>13</v>
      </c>
      <c r="C66">
        <v>17.295522049999999</v>
      </c>
      <c r="D66">
        <v>15.5</v>
      </c>
      <c r="E66">
        <v>2.0771000800000001</v>
      </c>
      <c r="F66">
        <v>30.02147707</v>
      </c>
      <c r="G66">
        <v>7.9289669009999999</v>
      </c>
      <c r="H66">
        <v>0</v>
      </c>
      <c r="I66">
        <f t="shared" si="3"/>
        <v>30.718421970000001</v>
      </c>
      <c r="J66">
        <f t="shared" si="0"/>
        <v>32.795522050000002</v>
      </c>
      <c r="K66">
        <f t="shared" si="1"/>
        <v>0.69694490000000187</v>
      </c>
    </row>
    <row r="67" spans="1:11" x14ac:dyDescent="0.2">
      <c r="A67" s="1">
        <v>41340</v>
      </c>
      <c r="B67" s="2">
        <f t="shared" si="2"/>
        <v>13</v>
      </c>
      <c r="C67">
        <v>30.02147707</v>
      </c>
      <c r="D67">
        <v>0</v>
      </c>
      <c r="E67">
        <v>1.9973194510000001</v>
      </c>
      <c r="F67">
        <v>28.022267540000001</v>
      </c>
      <c r="G67">
        <v>8.7346647199999996</v>
      </c>
      <c r="H67">
        <v>0</v>
      </c>
      <c r="I67">
        <f t="shared" si="3"/>
        <v>28.024157619</v>
      </c>
      <c r="J67">
        <f t="shared" ref="J67:J130" si="4">C67+D67</f>
        <v>30.02147707</v>
      </c>
      <c r="K67">
        <f t="shared" ref="K67:K130" si="5">I67-F67</f>
        <v>1.8900789999989343E-3</v>
      </c>
    </row>
    <row r="68" spans="1:11" x14ac:dyDescent="0.2">
      <c r="A68" s="1">
        <v>41341</v>
      </c>
      <c r="B68" s="2">
        <f t="shared" ref="B68:B131" si="6">IF(D68&gt;0,B67+1,B67)</f>
        <v>13</v>
      </c>
      <c r="C68">
        <v>28.022267540000001</v>
      </c>
      <c r="D68">
        <v>0</v>
      </c>
      <c r="E68">
        <v>1.55838152</v>
      </c>
      <c r="F68">
        <v>26.299184830000002</v>
      </c>
      <c r="G68">
        <v>8.8325716199999995</v>
      </c>
      <c r="H68">
        <v>0</v>
      </c>
      <c r="I68">
        <f t="shared" ref="I68:I131" si="7">C68+D68-E68</f>
        <v>26.46388602</v>
      </c>
      <c r="J68">
        <f t="shared" si="4"/>
        <v>28.022267540000001</v>
      </c>
      <c r="K68">
        <f t="shared" si="5"/>
        <v>0.16470118999999883</v>
      </c>
    </row>
    <row r="69" spans="1:11" x14ac:dyDescent="0.2">
      <c r="A69" s="1">
        <v>41342</v>
      </c>
      <c r="B69" s="2">
        <f t="shared" si="6"/>
        <v>13</v>
      </c>
      <c r="C69">
        <v>26.299184830000002</v>
      </c>
      <c r="D69">
        <v>0</v>
      </c>
      <c r="E69">
        <v>2.492973868</v>
      </c>
      <c r="F69">
        <v>23.805601559999999</v>
      </c>
      <c r="G69">
        <v>8.9185506369999992</v>
      </c>
      <c r="H69">
        <v>0</v>
      </c>
      <c r="I69">
        <f t="shared" si="7"/>
        <v>23.806210962000002</v>
      </c>
      <c r="J69">
        <f t="shared" si="4"/>
        <v>26.299184830000002</v>
      </c>
      <c r="K69">
        <f t="shared" si="5"/>
        <v>6.0940200000203504E-4</v>
      </c>
    </row>
    <row r="70" spans="1:11" x14ac:dyDescent="0.2">
      <c r="A70" s="1">
        <v>41343</v>
      </c>
      <c r="B70" s="2">
        <f t="shared" si="6"/>
        <v>13</v>
      </c>
      <c r="C70">
        <v>23.805601559999999</v>
      </c>
      <c r="D70">
        <v>0</v>
      </c>
      <c r="E70">
        <v>5.4658030000000002</v>
      </c>
      <c r="F70">
        <v>18.29074189</v>
      </c>
      <c r="G70">
        <v>8.007440227</v>
      </c>
      <c r="H70">
        <v>0</v>
      </c>
      <c r="I70">
        <f t="shared" si="7"/>
        <v>18.339798559999998</v>
      </c>
      <c r="J70">
        <f t="shared" si="4"/>
        <v>23.805601559999999</v>
      </c>
      <c r="K70">
        <f t="shared" si="5"/>
        <v>4.9056669999998803E-2</v>
      </c>
    </row>
    <row r="71" spans="1:11" x14ac:dyDescent="0.2">
      <c r="A71" s="1">
        <v>41344</v>
      </c>
      <c r="B71" s="2">
        <f t="shared" si="6"/>
        <v>13</v>
      </c>
      <c r="C71">
        <v>18.29074189</v>
      </c>
      <c r="D71">
        <v>0</v>
      </c>
      <c r="E71">
        <v>2.9452095800000002</v>
      </c>
      <c r="F71">
        <v>15.156843240000001</v>
      </c>
      <c r="G71">
        <v>8.3405137570000001</v>
      </c>
      <c r="H71">
        <v>0</v>
      </c>
      <c r="I71">
        <f t="shared" si="7"/>
        <v>15.345532309999999</v>
      </c>
      <c r="J71">
        <f t="shared" si="4"/>
        <v>18.29074189</v>
      </c>
      <c r="K71">
        <f t="shared" si="5"/>
        <v>0.18868906999999879</v>
      </c>
    </row>
    <row r="72" spans="1:11" x14ac:dyDescent="0.2">
      <c r="A72" s="1">
        <v>41345</v>
      </c>
      <c r="B72" s="2">
        <f t="shared" si="6"/>
        <v>13</v>
      </c>
      <c r="C72">
        <v>15.156843240000001</v>
      </c>
      <c r="D72">
        <v>0</v>
      </c>
      <c r="E72">
        <v>3.724621929</v>
      </c>
      <c r="F72">
        <v>10.848260570000001</v>
      </c>
      <c r="G72">
        <v>8.1009012770000002</v>
      </c>
      <c r="H72">
        <v>0</v>
      </c>
      <c r="I72">
        <f t="shared" si="7"/>
        <v>11.432221311000001</v>
      </c>
      <c r="J72">
        <f t="shared" si="4"/>
        <v>15.156843240000001</v>
      </c>
      <c r="K72">
        <f t="shared" si="5"/>
        <v>0.58396074100000028</v>
      </c>
    </row>
    <row r="73" spans="1:11" x14ac:dyDescent="0.2">
      <c r="A73" s="1">
        <v>41346</v>
      </c>
      <c r="B73" s="2">
        <f t="shared" si="6"/>
        <v>13</v>
      </c>
      <c r="C73">
        <v>10.848260570000001</v>
      </c>
      <c r="D73">
        <v>0</v>
      </c>
      <c r="E73">
        <v>3.0039346029999998</v>
      </c>
      <c r="F73">
        <v>7.8392433280000002</v>
      </c>
      <c r="G73">
        <v>8.4585778289999993</v>
      </c>
      <c r="H73">
        <v>0</v>
      </c>
      <c r="I73">
        <f t="shared" si="7"/>
        <v>7.8443259670000014</v>
      </c>
      <c r="J73">
        <f t="shared" si="4"/>
        <v>10.848260570000001</v>
      </c>
      <c r="K73">
        <f t="shared" si="5"/>
        <v>5.0826390000011656E-3</v>
      </c>
    </row>
    <row r="74" spans="1:11" x14ac:dyDescent="0.2">
      <c r="A74" s="1">
        <v>41347</v>
      </c>
      <c r="B74" s="2">
        <f t="shared" si="6"/>
        <v>13</v>
      </c>
      <c r="C74">
        <v>7.8392433280000002</v>
      </c>
      <c r="D74">
        <v>0</v>
      </c>
      <c r="E74">
        <v>3.2481312510000002</v>
      </c>
      <c r="F74">
        <v>4.5221177939999997</v>
      </c>
      <c r="G74">
        <v>8.1109650139999996</v>
      </c>
      <c r="H74">
        <v>0</v>
      </c>
      <c r="I74">
        <f t="shared" si="7"/>
        <v>4.591112077</v>
      </c>
      <c r="J74">
        <f t="shared" si="4"/>
        <v>7.8392433280000002</v>
      </c>
      <c r="K74">
        <f t="shared" si="5"/>
        <v>6.8994283000000323E-2</v>
      </c>
    </row>
    <row r="75" spans="1:11" x14ac:dyDescent="0.2">
      <c r="A75" s="1">
        <v>41348</v>
      </c>
      <c r="B75" s="2">
        <f t="shared" si="6"/>
        <v>13</v>
      </c>
      <c r="C75">
        <v>4.5221177939999997</v>
      </c>
      <c r="D75">
        <v>0</v>
      </c>
      <c r="E75">
        <v>3.3639473020000001</v>
      </c>
      <c r="F75">
        <v>1.094408032</v>
      </c>
      <c r="G75">
        <v>7.5101243650000002</v>
      </c>
      <c r="H75">
        <v>0</v>
      </c>
      <c r="I75">
        <f t="shared" si="7"/>
        <v>1.1581704919999996</v>
      </c>
      <c r="J75">
        <f t="shared" si="4"/>
        <v>4.5221177939999997</v>
      </c>
      <c r="K75">
        <f t="shared" si="5"/>
        <v>6.3762459999999521E-2</v>
      </c>
    </row>
    <row r="76" spans="1:11" x14ac:dyDescent="0.2">
      <c r="A76" s="1">
        <v>41349</v>
      </c>
      <c r="B76" s="2">
        <f t="shared" si="6"/>
        <v>14</v>
      </c>
      <c r="C76">
        <v>1.094408032</v>
      </c>
      <c r="D76">
        <v>14.3</v>
      </c>
      <c r="E76">
        <v>5.7165968439999997</v>
      </c>
      <c r="F76">
        <v>9.6718711339999999</v>
      </c>
      <c r="G76">
        <v>8.1142350509999996</v>
      </c>
      <c r="H76">
        <v>0</v>
      </c>
      <c r="I76">
        <f t="shared" si="7"/>
        <v>9.6778111880000015</v>
      </c>
      <c r="J76">
        <f t="shared" si="4"/>
        <v>15.394408032000001</v>
      </c>
      <c r="K76">
        <f t="shared" si="5"/>
        <v>5.9400540000016377E-3</v>
      </c>
    </row>
    <row r="77" spans="1:11" x14ac:dyDescent="0.2">
      <c r="A77" s="1">
        <v>41350</v>
      </c>
      <c r="B77" s="2">
        <f t="shared" si="6"/>
        <v>14</v>
      </c>
      <c r="C77">
        <v>9.6718711339999999</v>
      </c>
      <c r="D77">
        <v>0</v>
      </c>
      <c r="E77">
        <v>2.8952623380000002</v>
      </c>
      <c r="F77">
        <v>6.7661780809999996</v>
      </c>
      <c r="G77">
        <v>7.950443623</v>
      </c>
      <c r="H77">
        <v>0</v>
      </c>
      <c r="I77">
        <f t="shared" si="7"/>
        <v>6.7766087959999997</v>
      </c>
      <c r="J77">
        <f t="shared" si="4"/>
        <v>9.6718711339999999</v>
      </c>
      <c r="K77">
        <f t="shared" si="5"/>
        <v>1.0430715000000035E-2</v>
      </c>
    </row>
    <row r="78" spans="1:11" x14ac:dyDescent="0.2">
      <c r="A78" s="1">
        <v>41351</v>
      </c>
      <c r="B78" s="2">
        <f t="shared" si="6"/>
        <v>14</v>
      </c>
      <c r="C78">
        <v>6.7661780809999996</v>
      </c>
      <c r="D78">
        <v>0</v>
      </c>
      <c r="E78">
        <v>3.0381376430000002</v>
      </c>
      <c r="F78">
        <v>3.6030852050000002</v>
      </c>
      <c r="G78">
        <v>7.9888118710000002</v>
      </c>
      <c r="H78">
        <v>0</v>
      </c>
      <c r="I78">
        <f t="shared" si="7"/>
        <v>3.7280404379999994</v>
      </c>
      <c r="J78">
        <f t="shared" si="4"/>
        <v>6.7661780809999996</v>
      </c>
      <c r="K78">
        <f t="shared" si="5"/>
        <v>0.12495523299999922</v>
      </c>
    </row>
    <row r="79" spans="1:11" x14ac:dyDescent="0.2">
      <c r="A79" s="1">
        <v>41352</v>
      </c>
      <c r="B79" s="2">
        <f t="shared" si="6"/>
        <v>15</v>
      </c>
      <c r="C79">
        <v>3.6030852050000002</v>
      </c>
      <c r="D79">
        <v>15.3</v>
      </c>
      <c r="E79">
        <v>2.3652515269999999</v>
      </c>
      <c r="F79">
        <v>16.531203959999999</v>
      </c>
      <c r="G79">
        <v>7.969773376</v>
      </c>
      <c r="H79">
        <v>0</v>
      </c>
      <c r="I79">
        <f t="shared" si="7"/>
        <v>16.537833677999998</v>
      </c>
      <c r="J79">
        <f t="shared" si="4"/>
        <v>18.903085205</v>
      </c>
      <c r="K79">
        <f t="shared" si="5"/>
        <v>6.6297179999992295E-3</v>
      </c>
    </row>
    <row r="80" spans="1:11" x14ac:dyDescent="0.2">
      <c r="A80" s="1">
        <v>41353</v>
      </c>
      <c r="B80" s="2">
        <f t="shared" si="6"/>
        <v>15</v>
      </c>
      <c r="C80">
        <v>16.531203959999999</v>
      </c>
      <c r="D80">
        <v>0</v>
      </c>
      <c r="E80">
        <v>3.9550560269999999</v>
      </c>
      <c r="F80">
        <v>12.138878500000001</v>
      </c>
      <c r="G80">
        <v>8.0554770449999999</v>
      </c>
      <c r="H80">
        <v>0</v>
      </c>
      <c r="I80">
        <f t="shared" si="7"/>
        <v>12.576147933</v>
      </c>
      <c r="J80">
        <f t="shared" si="4"/>
        <v>16.531203959999999</v>
      </c>
      <c r="K80">
        <f t="shared" si="5"/>
        <v>0.4372694329999991</v>
      </c>
    </row>
    <row r="81" spans="1:11" x14ac:dyDescent="0.2">
      <c r="A81" s="1">
        <v>41354</v>
      </c>
      <c r="B81" s="2">
        <f t="shared" si="6"/>
        <v>15</v>
      </c>
      <c r="C81">
        <v>12.138878500000001</v>
      </c>
      <c r="D81">
        <v>0</v>
      </c>
      <c r="E81">
        <v>2.7473281190000001</v>
      </c>
      <c r="F81">
        <v>9.3232154010000006</v>
      </c>
      <c r="G81">
        <v>7.9951242699999998</v>
      </c>
      <c r="H81">
        <v>0</v>
      </c>
      <c r="I81">
        <f t="shared" si="7"/>
        <v>9.3915503810000001</v>
      </c>
      <c r="J81">
        <f t="shared" si="4"/>
        <v>12.138878500000001</v>
      </c>
      <c r="K81">
        <f t="shared" si="5"/>
        <v>6.833497999999949E-2</v>
      </c>
    </row>
    <row r="82" spans="1:11" x14ac:dyDescent="0.2">
      <c r="A82" s="1">
        <v>41355</v>
      </c>
      <c r="B82" s="2">
        <f t="shared" si="6"/>
        <v>15</v>
      </c>
      <c r="C82">
        <v>9.3232154010000006</v>
      </c>
      <c r="D82">
        <v>0</v>
      </c>
      <c r="E82">
        <v>2.8523339270000001</v>
      </c>
      <c r="F82">
        <v>6.4701379699999997</v>
      </c>
      <c r="G82">
        <v>8.170673936</v>
      </c>
      <c r="H82">
        <v>0</v>
      </c>
      <c r="I82">
        <f t="shared" si="7"/>
        <v>6.4708814740000005</v>
      </c>
      <c r="J82">
        <f t="shared" si="4"/>
        <v>9.3232154010000006</v>
      </c>
      <c r="K82">
        <f t="shared" si="5"/>
        <v>7.4350400000078309E-4</v>
      </c>
    </row>
    <row r="83" spans="1:11" x14ac:dyDescent="0.2">
      <c r="A83" s="1">
        <v>41356</v>
      </c>
      <c r="B83" s="2">
        <f t="shared" si="6"/>
        <v>16</v>
      </c>
      <c r="C83">
        <v>6.4701379699999997</v>
      </c>
      <c r="D83">
        <v>14.3</v>
      </c>
      <c r="E83">
        <v>3.2836979890000002</v>
      </c>
      <c r="F83">
        <v>16.768868560000001</v>
      </c>
      <c r="G83">
        <v>8.4467729560000002</v>
      </c>
      <c r="H83">
        <v>0</v>
      </c>
      <c r="I83">
        <f t="shared" si="7"/>
        <v>17.486439981</v>
      </c>
      <c r="J83">
        <f t="shared" si="4"/>
        <v>20.77013797</v>
      </c>
      <c r="K83">
        <f t="shared" si="5"/>
        <v>0.71757142099999882</v>
      </c>
    </row>
    <row r="84" spans="1:11" x14ac:dyDescent="0.2">
      <c r="A84" s="1">
        <v>41357</v>
      </c>
      <c r="B84" s="2">
        <f t="shared" si="6"/>
        <v>16</v>
      </c>
      <c r="C84">
        <v>16.768868560000001</v>
      </c>
      <c r="D84">
        <v>0</v>
      </c>
      <c r="E84">
        <v>3.3501009850000001</v>
      </c>
      <c r="F84">
        <v>13.176724399999999</v>
      </c>
      <c r="G84">
        <v>8.4595369569999992</v>
      </c>
      <c r="H84">
        <v>0</v>
      </c>
      <c r="I84">
        <f t="shared" si="7"/>
        <v>13.418767575</v>
      </c>
      <c r="J84">
        <f t="shared" si="4"/>
        <v>16.768868560000001</v>
      </c>
      <c r="K84">
        <f t="shared" si="5"/>
        <v>0.24204317500000094</v>
      </c>
    </row>
    <row r="85" spans="1:11" x14ac:dyDescent="0.2">
      <c r="A85" s="1">
        <v>41358</v>
      </c>
      <c r="B85" s="2">
        <f t="shared" si="6"/>
        <v>16</v>
      </c>
      <c r="C85">
        <v>13.176724399999999</v>
      </c>
      <c r="D85">
        <v>0</v>
      </c>
      <c r="E85">
        <v>4.3988835120000003</v>
      </c>
      <c r="F85">
        <v>8.6388239099999993</v>
      </c>
      <c r="G85">
        <v>8.2925108319999996</v>
      </c>
      <c r="H85">
        <v>0</v>
      </c>
      <c r="I85">
        <f t="shared" si="7"/>
        <v>8.7778408880000001</v>
      </c>
      <c r="J85">
        <f t="shared" si="4"/>
        <v>13.176724399999999</v>
      </c>
      <c r="K85">
        <f t="shared" si="5"/>
        <v>0.13901697800000079</v>
      </c>
    </row>
    <row r="86" spans="1:11" x14ac:dyDescent="0.2">
      <c r="A86" s="1">
        <v>41359</v>
      </c>
      <c r="B86" s="2">
        <f t="shared" si="6"/>
        <v>16</v>
      </c>
      <c r="C86">
        <v>8.6388239099999993</v>
      </c>
      <c r="D86">
        <v>0</v>
      </c>
      <c r="E86">
        <v>4.7810398640000003</v>
      </c>
      <c r="F86">
        <v>3.8005675029999999</v>
      </c>
      <c r="G86">
        <v>7.9683529039999996</v>
      </c>
      <c r="H86">
        <v>0</v>
      </c>
      <c r="I86">
        <f t="shared" si="7"/>
        <v>3.857784045999999</v>
      </c>
      <c r="J86">
        <f t="shared" si="4"/>
        <v>8.6388239099999993</v>
      </c>
      <c r="K86">
        <f t="shared" si="5"/>
        <v>5.721654299999912E-2</v>
      </c>
    </row>
    <row r="87" spans="1:11" x14ac:dyDescent="0.2">
      <c r="A87" s="1">
        <v>41360</v>
      </c>
      <c r="B87" s="2">
        <f t="shared" si="6"/>
        <v>17</v>
      </c>
      <c r="C87">
        <v>3.8005675029999999</v>
      </c>
      <c r="D87">
        <v>14.4</v>
      </c>
      <c r="E87">
        <v>1.924619643</v>
      </c>
      <c r="F87">
        <v>16.214856730000001</v>
      </c>
      <c r="G87">
        <v>8.9227381690000005</v>
      </c>
      <c r="H87">
        <v>0</v>
      </c>
      <c r="I87">
        <f t="shared" si="7"/>
        <v>16.275947860000002</v>
      </c>
      <c r="J87">
        <f t="shared" si="4"/>
        <v>18.200567503000002</v>
      </c>
      <c r="K87">
        <f t="shared" si="5"/>
        <v>6.1091130000001215E-2</v>
      </c>
    </row>
    <row r="88" spans="1:11" x14ac:dyDescent="0.2">
      <c r="A88" s="1">
        <v>41361</v>
      </c>
      <c r="B88" s="2">
        <f t="shared" si="6"/>
        <v>17</v>
      </c>
      <c r="C88">
        <v>16.214856730000001</v>
      </c>
      <c r="D88">
        <v>0</v>
      </c>
      <c r="E88">
        <v>2.0240626800000001</v>
      </c>
      <c r="F88">
        <v>14.14677698</v>
      </c>
      <c r="G88">
        <v>9.1128676219999996</v>
      </c>
      <c r="H88">
        <v>0</v>
      </c>
      <c r="I88">
        <f t="shared" si="7"/>
        <v>14.190794050000001</v>
      </c>
      <c r="J88">
        <f t="shared" si="4"/>
        <v>16.214856730000001</v>
      </c>
      <c r="K88">
        <f t="shared" si="5"/>
        <v>4.4017070000000658E-2</v>
      </c>
    </row>
    <row r="89" spans="1:11" x14ac:dyDescent="0.2">
      <c r="A89" s="1">
        <v>41362</v>
      </c>
      <c r="B89" s="2">
        <f t="shared" si="6"/>
        <v>17</v>
      </c>
      <c r="C89">
        <v>14.14677698</v>
      </c>
      <c r="D89">
        <v>0</v>
      </c>
      <c r="E89">
        <v>2.3413679159999998</v>
      </c>
      <c r="F89">
        <v>11.74828503</v>
      </c>
      <c r="G89">
        <v>8.4757760599999994</v>
      </c>
      <c r="H89">
        <v>0</v>
      </c>
      <c r="I89">
        <f t="shared" si="7"/>
        <v>11.805409064000001</v>
      </c>
      <c r="J89">
        <f t="shared" si="4"/>
        <v>14.14677698</v>
      </c>
      <c r="K89">
        <f t="shared" si="5"/>
        <v>5.7124034000000989E-2</v>
      </c>
    </row>
    <row r="90" spans="1:11" x14ac:dyDescent="0.2">
      <c r="A90" s="1">
        <v>41363</v>
      </c>
      <c r="B90" s="2">
        <f t="shared" si="6"/>
        <v>17</v>
      </c>
      <c r="C90">
        <v>11.74828503</v>
      </c>
      <c r="D90">
        <v>0</v>
      </c>
      <c r="E90">
        <v>1.361484157</v>
      </c>
      <c r="F90">
        <v>10.35699417</v>
      </c>
      <c r="G90">
        <v>7.9919455580000003</v>
      </c>
      <c r="H90">
        <v>0</v>
      </c>
      <c r="I90">
        <f t="shared" si="7"/>
        <v>10.386800873</v>
      </c>
      <c r="J90">
        <f t="shared" si="4"/>
        <v>11.74828503</v>
      </c>
      <c r="K90">
        <f t="shared" si="5"/>
        <v>2.9806703000000212E-2</v>
      </c>
    </row>
    <row r="91" spans="1:11" x14ac:dyDescent="0.2">
      <c r="A91" s="1">
        <v>41364</v>
      </c>
      <c r="B91" s="2">
        <f t="shared" si="6"/>
        <v>17</v>
      </c>
      <c r="C91">
        <v>10.35699417</v>
      </c>
      <c r="D91">
        <v>0</v>
      </c>
      <c r="E91">
        <v>2.4914282430000001</v>
      </c>
      <c r="F91">
        <v>7.186360079</v>
      </c>
      <c r="G91">
        <v>8.2464030439999991</v>
      </c>
      <c r="H91">
        <v>0</v>
      </c>
      <c r="I91">
        <f t="shared" si="7"/>
        <v>7.8655659270000005</v>
      </c>
      <c r="J91">
        <f t="shared" si="4"/>
        <v>10.35699417</v>
      </c>
      <c r="K91">
        <f t="shared" si="5"/>
        <v>0.6792058480000005</v>
      </c>
    </row>
    <row r="92" spans="1:11" x14ac:dyDescent="0.2">
      <c r="A92" s="1">
        <v>41365</v>
      </c>
      <c r="B92" s="2">
        <f t="shared" si="6"/>
        <v>18</v>
      </c>
      <c r="C92">
        <v>7.186360079</v>
      </c>
      <c r="D92">
        <v>15.6</v>
      </c>
      <c r="E92">
        <v>3.0161764089999998</v>
      </c>
      <c r="F92">
        <v>19.74047977</v>
      </c>
      <c r="G92">
        <v>8.4080313239999995</v>
      </c>
      <c r="H92">
        <v>0</v>
      </c>
      <c r="I92">
        <f t="shared" si="7"/>
        <v>19.770183669999998</v>
      </c>
      <c r="J92">
        <f t="shared" si="4"/>
        <v>22.786360078999998</v>
      </c>
      <c r="K92">
        <f t="shared" si="5"/>
        <v>2.9703899999997674E-2</v>
      </c>
    </row>
    <row r="93" spans="1:11" x14ac:dyDescent="0.2">
      <c r="A93" s="1">
        <v>41366</v>
      </c>
      <c r="B93" s="2">
        <f t="shared" si="6"/>
        <v>18</v>
      </c>
      <c r="C93">
        <v>19.74047977</v>
      </c>
      <c r="D93">
        <v>0</v>
      </c>
      <c r="E93">
        <v>1.674935039</v>
      </c>
      <c r="F93">
        <v>18.065534589999999</v>
      </c>
      <c r="G93">
        <v>7.9676434360000004</v>
      </c>
      <c r="H93">
        <v>0</v>
      </c>
      <c r="I93">
        <f t="shared" si="7"/>
        <v>18.065544730999999</v>
      </c>
      <c r="J93">
        <f t="shared" si="4"/>
        <v>19.74047977</v>
      </c>
      <c r="K93">
        <f t="shared" si="5"/>
        <v>1.0141000000629674E-5</v>
      </c>
    </row>
    <row r="94" spans="1:11" x14ac:dyDescent="0.2">
      <c r="A94" s="1">
        <v>41367</v>
      </c>
      <c r="B94" s="2">
        <f t="shared" si="6"/>
        <v>18</v>
      </c>
      <c r="C94">
        <v>18.065534589999999</v>
      </c>
      <c r="D94">
        <v>0</v>
      </c>
      <c r="E94">
        <v>2.965147655</v>
      </c>
      <c r="F94">
        <v>15.05069774</v>
      </c>
      <c r="G94">
        <v>7.9577764279999998</v>
      </c>
      <c r="H94">
        <v>0</v>
      </c>
      <c r="I94">
        <f t="shared" si="7"/>
        <v>15.100386935</v>
      </c>
      <c r="J94">
        <f t="shared" si="4"/>
        <v>18.065534589999999</v>
      </c>
      <c r="K94">
        <f t="shared" si="5"/>
        <v>4.9689194999999131E-2</v>
      </c>
    </row>
    <row r="95" spans="1:11" x14ac:dyDescent="0.2">
      <c r="A95" s="1">
        <v>41368</v>
      </c>
      <c r="B95" s="2">
        <f t="shared" si="6"/>
        <v>18</v>
      </c>
      <c r="C95">
        <v>15.05069774</v>
      </c>
      <c r="D95">
        <v>0</v>
      </c>
      <c r="E95">
        <v>2.0766854129999999</v>
      </c>
      <c r="F95">
        <v>12.92370693</v>
      </c>
      <c r="G95">
        <v>7.9077551100000001</v>
      </c>
      <c r="H95">
        <v>0</v>
      </c>
      <c r="I95">
        <f t="shared" si="7"/>
        <v>12.974012327000001</v>
      </c>
      <c r="J95">
        <f t="shared" si="4"/>
        <v>15.05069774</v>
      </c>
      <c r="K95">
        <f t="shared" si="5"/>
        <v>5.0305397000000696E-2</v>
      </c>
    </row>
    <row r="96" spans="1:11" x14ac:dyDescent="0.2">
      <c r="A96" s="1">
        <v>41369</v>
      </c>
      <c r="B96" s="2">
        <f t="shared" si="6"/>
        <v>18</v>
      </c>
      <c r="C96">
        <v>12.92370693</v>
      </c>
      <c r="D96">
        <v>0</v>
      </c>
      <c r="E96">
        <v>4.0718625509999997</v>
      </c>
      <c r="F96">
        <v>8.8117459300000007</v>
      </c>
      <c r="G96">
        <v>8.1025486670000006</v>
      </c>
      <c r="H96">
        <v>0</v>
      </c>
      <c r="I96">
        <f t="shared" si="7"/>
        <v>8.8518443789999992</v>
      </c>
      <c r="J96">
        <f t="shared" si="4"/>
        <v>12.92370693</v>
      </c>
      <c r="K96">
        <f t="shared" si="5"/>
        <v>4.0098448999998482E-2</v>
      </c>
    </row>
    <row r="97" spans="1:11" x14ac:dyDescent="0.2">
      <c r="A97" s="1">
        <v>41370</v>
      </c>
      <c r="B97" s="2">
        <f t="shared" si="6"/>
        <v>18</v>
      </c>
      <c r="C97">
        <v>8.8117459300000007</v>
      </c>
      <c r="D97">
        <v>0</v>
      </c>
      <c r="E97">
        <v>3.2225937340000002</v>
      </c>
      <c r="F97">
        <v>5.515038133</v>
      </c>
      <c r="G97">
        <v>8.1198236920000006</v>
      </c>
      <c r="H97">
        <v>0</v>
      </c>
      <c r="I97">
        <f t="shared" si="7"/>
        <v>5.5891521960000006</v>
      </c>
      <c r="J97">
        <f t="shared" si="4"/>
        <v>8.8117459300000007</v>
      </c>
      <c r="K97">
        <f t="shared" si="5"/>
        <v>7.4114063000000563E-2</v>
      </c>
    </row>
    <row r="98" spans="1:11" x14ac:dyDescent="0.2">
      <c r="A98" s="1">
        <v>41371</v>
      </c>
      <c r="B98" s="2">
        <f t="shared" si="6"/>
        <v>19</v>
      </c>
      <c r="C98">
        <v>5.515038133</v>
      </c>
      <c r="D98">
        <v>9.9</v>
      </c>
      <c r="E98">
        <v>2.7744039410000001</v>
      </c>
      <c r="F98">
        <v>12.61840421</v>
      </c>
      <c r="G98">
        <v>8.2307128630000008</v>
      </c>
      <c r="H98">
        <v>0</v>
      </c>
      <c r="I98">
        <f t="shared" si="7"/>
        <v>12.640634192</v>
      </c>
      <c r="J98">
        <f t="shared" si="4"/>
        <v>15.415038132999999</v>
      </c>
      <c r="K98">
        <f t="shared" si="5"/>
        <v>2.2229982000000703E-2</v>
      </c>
    </row>
    <row r="99" spans="1:11" x14ac:dyDescent="0.2">
      <c r="A99" s="1">
        <v>41372</v>
      </c>
      <c r="B99" s="2">
        <f t="shared" si="6"/>
        <v>19</v>
      </c>
      <c r="C99">
        <v>12.61840421</v>
      </c>
      <c r="D99">
        <v>0</v>
      </c>
      <c r="E99">
        <v>1.5814903259999999</v>
      </c>
      <c r="F99">
        <v>11.02740985</v>
      </c>
      <c r="G99">
        <v>7.9388680100000002</v>
      </c>
      <c r="H99">
        <v>0</v>
      </c>
      <c r="I99">
        <f t="shared" si="7"/>
        <v>11.036913884000001</v>
      </c>
      <c r="J99">
        <f t="shared" si="4"/>
        <v>12.61840421</v>
      </c>
      <c r="K99">
        <f t="shared" si="5"/>
        <v>9.5040340000007717E-3</v>
      </c>
    </row>
    <row r="100" spans="1:11" x14ac:dyDescent="0.2">
      <c r="A100" s="1">
        <v>41373</v>
      </c>
      <c r="B100" s="2">
        <f t="shared" si="6"/>
        <v>19</v>
      </c>
      <c r="C100">
        <v>11.02740985</v>
      </c>
      <c r="D100">
        <v>0</v>
      </c>
      <c r="E100">
        <v>4.6456824990000003</v>
      </c>
      <c r="F100">
        <v>6.212335597</v>
      </c>
      <c r="G100">
        <v>8.617311398</v>
      </c>
      <c r="H100">
        <v>0</v>
      </c>
      <c r="I100">
        <f t="shared" si="7"/>
        <v>6.3817273509999994</v>
      </c>
      <c r="J100">
        <f t="shared" si="4"/>
        <v>11.02740985</v>
      </c>
      <c r="K100">
        <f t="shared" si="5"/>
        <v>0.16939175399999939</v>
      </c>
    </row>
    <row r="101" spans="1:11" x14ac:dyDescent="0.2">
      <c r="A101" s="1">
        <v>41374</v>
      </c>
      <c r="B101" s="2">
        <f t="shared" si="6"/>
        <v>20</v>
      </c>
      <c r="C101">
        <v>6.212335597</v>
      </c>
      <c r="D101">
        <v>24.5</v>
      </c>
      <c r="E101">
        <v>11.626000749999999</v>
      </c>
      <c r="F101">
        <v>19.085602919999999</v>
      </c>
      <c r="G101">
        <v>5.3271124160000003</v>
      </c>
      <c r="H101">
        <v>0</v>
      </c>
      <c r="I101">
        <f t="shared" si="7"/>
        <v>19.086334847</v>
      </c>
      <c r="J101">
        <f t="shared" si="4"/>
        <v>30.712335596999999</v>
      </c>
      <c r="K101">
        <f t="shared" si="5"/>
        <v>7.3192700000035416E-4</v>
      </c>
    </row>
    <row r="102" spans="1:11" x14ac:dyDescent="0.2">
      <c r="A102" s="1">
        <v>41375</v>
      </c>
      <c r="B102" s="2">
        <f t="shared" si="6"/>
        <v>20</v>
      </c>
      <c r="C102">
        <v>19.085602919999999</v>
      </c>
      <c r="D102">
        <v>0</v>
      </c>
      <c r="E102">
        <v>6.573383368</v>
      </c>
      <c r="F102">
        <v>12.50841031</v>
      </c>
      <c r="G102">
        <v>5.3723192989999999</v>
      </c>
      <c r="H102">
        <v>0</v>
      </c>
      <c r="I102">
        <f t="shared" si="7"/>
        <v>12.512219551999999</v>
      </c>
      <c r="J102">
        <f t="shared" si="4"/>
        <v>19.085602919999999</v>
      </c>
      <c r="K102">
        <f t="shared" si="5"/>
        <v>3.8092419999991023E-3</v>
      </c>
    </row>
    <row r="103" spans="1:11" x14ac:dyDescent="0.2">
      <c r="A103" s="1">
        <v>41376</v>
      </c>
      <c r="B103" s="2">
        <f t="shared" si="6"/>
        <v>21</v>
      </c>
      <c r="C103">
        <v>12.50841031</v>
      </c>
      <c r="D103">
        <v>14.5</v>
      </c>
      <c r="E103">
        <v>5.8223977939999996</v>
      </c>
      <c r="F103">
        <v>20.343002989999999</v>
      </c>
      <c r="G103">
        <v>5.6127869969999997</v>
      </c>
      <c r="H103">
        <v>0</v>
      </c>
      <c r="I103">
        <f t="shared" si="7"/>
        <v>21.186012516000002</v>
      </c>
      <c r="J103">
        <f t="shared" si="4"/>
        <v>27.008410310000002</v>
      </c>
      <c r="K103">
        <f t="shared" si="5"/>
        <v>0.84300952600000301</v>
      </c>
    </row>
    <row r="104" spans="1:11" x14ac:dyDescent="0.2">
      <c r="A104" s="1">
        <v>41377</v>
      </c>
      <c r="B104" s="2">
        <f t="shared" si="6"/>
        <v>22</v>
      </c>
      <c r="C104">
        <v>20.343002989999999</v>
      </c>
      <c r="D104">
        <v>15.1</v>
      </c>
      <c r="E104">
        <v>15.77778009</v>
      </c>
      <c r="F104">
        <v>19.533402850000002</v>
      </c>
      <c r="G104">
        <v>5.3744925160000001</v>
      </c>
      <c r="H104">
        <v>0</v>
      </c>
      <c r="I104">
        <f t="shared" si="7"/>
        <v>19.665222899999996</v>
      </c>
      <c r="J104">
        <f t="shared" si="4"/>
        <v>35.443002989999997</v>
      </c>
      <c r="K104">
        <f t="shared" si="5"/>
        <v>0.13182004999999464</v>
      </c>
    </row>
    <row r="105" spans="1:11" x14ac:dyDescent="0.2">
      <c r="A105" s="1">
        <v>41378</v>
      </c>
      <c r="B105" s="2">
        <f t="shared" si="6"/>
        <v>22</v>
      </c>
      <c r="C105">
        <v>19.533402850000002</v>
      </c>
      <c r="D105">
        <v>0</v>
      </c>
      <c r="E105">
        <v>4.5286136780000001</v>
      </c>
      <c r="F105">
        <v>13.12544428</v>
      </c>
      <c r="G105">
        <v>6.0062242299999999</v>
      </c>
      <c r="H105">
        <v>0</v>
      </c>
      <c r="I105">
        <f t="shared" si="7"/>
        <v>15.004789172000002</v>
      </c>
      <c r="J105">
        <f t="shared" si="4"/>
        <v>19.533402850000002</v>
      </c>
      <c r="K105">
        <f t="shared" si="5"/>
        <v>1.8793448920000024</v>
      </c>
    </row>
    <row r="106" spans="1:11" x14ac:dyDescent="0.2">
      <c r="A106" s="1">
        <v>41379</v>
      </c>
      <c r="B106" s="2">
        <f t="shared" si="6"/>
        <v>23</v>
      </c>
      <c r="C106">
        <v>13.12544428</v>
      </c>
      <c r="D106">
        <v>24.6</v>
      </c>
      <c r="E106">
        <v>8.1346411150000009</v>
      </c>
      <c r="F106">
        <v>29.00742687</v>
      </c>
      <c r="G106">
        <v>5.4407702259999997</v>
      </c>
      <c r="H106">
        <v>0</v>
      </c>
      <c r="I106">
        <f t="shared" si="7"/>
        <v>29.590803165000004</v>
      </c>
      <c r="J106">
        <f t="shared" si="4"/>
        <v>37.725444280000005</v>
      </c>
      <c r="K106">
        <f t="shared" si="5"/>
        <v>0.58337629500000432</v>
      </c>
    </row>
    <row r="107" spans="1:11" x14ac:dyDescent="0.2">
      <c r="A107" s="1">
        <v>41380</v>
      </c>
      <c r="B107" s="2">
        <f t="shared" si="6"/>
        <v>23</v>
      </c>
      <c r="C107">
        <v>29.00742687</v>
      </c>
      <c r="D107">
        <v>0</v>
      </c>
      <c r="E107">
        <v>7.5969658720000002</v>
      </c>
      <c r="F107">
        <v>21.292830739999999</v>
      </c>
      <c r="G107">
        <v>5.3523854359999996</v>
      </c>
      <c r="H107">
        <v>0</v>
      </c>
      <c r="I107">
        <f t="shared" si="7"/>
        <v>21.410460997999998</v>
      </c>
      <c r="J107">
        <f t="shared" si="4"/>
        <v>29.00742687</v>
      </c>
      <c r="K107">
        <f t="shared" si="5"/>
        <v>0.11763025799999838</v>
      </c>
    </row>
    <row r="108" spans="1:11" x14ac:dyDescent="0.2">
      <c r="A108" s="1">
        <v>41381</v>
      </c>
      <c r="B108" s="2">
        <f t="shared" si="6"/>
        <v>23</v>
      </c>
      <c r="C108">
        <v>21.292830739999999</v>
      </c>
      <c r="D108">
        <v>0</v>
      </c>
      <c r="E108">
        <v>3.1338333</v>
      </c>
      <c r="F108">
        <v>18.11404542</v>
      </c>
      <c r="G108">
        <v>5.8749394500000003</v>
      </c>
      <c r="H108">
        <v>0</v>
      </c>
      <c r="I108">
        <f t="shared" si="7"/>
        <v>18.15899744</v>
      </c>
      <c r="J108">
        <f t="shared" si="4"/>
        <v>21.292830739999999</v>
      </c>
      <c r="K108">
        <f t="shared" si="5"/>
        <v>4.4952020000000203E-2</v>
      </c>
    </row>
    <row r="109" spans="1:11" x14ac:dyDescent="0.2">
      <c r="A109" s="1">
        <v>41382</v>
      </c>
      <c r="B109" s="2">
        <f t="shared" si="6"/>
        <v>24</v>
      </c>
      <c r="C109">
        <v>18.11404542</v>
      </c>
      <c r="D109">
        <v>24.6</v>
      </c>
      <c r="E109">
        <v>5.1107639159999998</v>
      </c>
      <c r="F109">
        <v>37.03527364</v>
      </c>
      <c r="G109">
        <v>5.5991365200000001</v>
      </c>
      <c r="H109">
        <v>0</v>
      </c>
      <c r="I109">
        <f t="shared" si="7"/>
        <v>37.603281504000009</v>
      </c>
      <c r="J109">
        <f t="shared" si="4"/>
        <v>42.714045420000005</v>
      </c>
      <c r="K109">
        <f t="shared" si="5"/>
        <v>0.56800786400000902</v>
      </c>
    </row>
    <row r="110" spans="1:11" x14ac:dyDescent="0.2">
      <c r="A110" s="1">
        <v>41383</v>
      </c>
      <c r="B110" s="2">
        <f t="shared" si="6"/>
        <v>24</v>
      </c>
      <c r="C110">
        <v>37.03527364</v>
      </c>
      <c r="D110">
        <v>0</v>
      </c>
      <c r="E110">
        <v>7.1604996879999998</v>
      </c>
      <c r="F110">
        <v>28.027784319999999</v>
      </c>
      <c r="G110">
        <v>5.3976903570000001</v>
      </c>
      <c r="H110">
        <v>0</v>
      </c>
      <c r="I110">
        <f t="shared" si="7"/>
        <v>29.874773951999998</v>
      </c>
      <c r="J110">
        <f t="shared" si="4"/>
        <v>37.03527364</v>
      </c>
      <c r="K110">
        <f t="shared" si="5"/>
        <v>1.8469896319999997</v>
      </c>
    </row>
    <row r="111" spans="1:11" x14ac:dyDescent="0.2">
      <c r="A111" s="1">
        <v>41384</v>
      </c>
      <c r="B111" s="2">
        <f t="shared" si="6"/>
        <v>24</v>
      </c>
      <c r="C111">
        <v>28.027784319999999</v>
      </c>
      <c r="D111">
        <v>0</v>
      </c>
      <c r="E111">
        <v>5.624685403</v>
      </c>
      <c r="F111">
        <v>22.169055719999999</v>
      </c>
      <c r="G111">
        <v>5.8913638050000001</v>
      </c>
      <c r="H111">
        <v>0</v>
      </c>
      <c r="I111">
        <f t="shared" si="7"/>
        <v>22.403098916999998</v>
      </c>
      <c r="J111">
        <f t="shared" si="4"/>
        <v>28.027784319999999</v>
      </c>
      <c r="K111">
        <f t="shared" si="5"/>
        <v>0.23404319699999832</v>
      </c>
    </row>
    <row r="112" spans="1:11" x14ac:dyDescent="0.2">
      <c r="A112" s="1">
        <v>41385</v>
      </c>
      <c r="B112" s="2">
        <f t="shared" si="6"/>
        <v>24</v>
      </c>
      <c r="C112">
        <v>22.169055719999999</v>
      </c>
      <c r="D112">
        <v>0</v>
      </c>
      <c r="E112">
        <v>6.3378364759999997</v>
      </c>
      <c r="F112">
        <v>15.829461480000001</v>
      </c>
      <c r="G112">
        <v>6.0819257609999999</v>
      </c>
      <c r="H112">
        <v>0</v>
      </c>
      <c r="I112">
        <f t="shared" si="7"/>
        <v>15.831219244</v>
      </c>
      <c r="J112">
        <f t="shared" si="4"/>
        <v>22.169055719999999</v>
      </c>
      <c r="K112">
        <f t="shared" si="5"/>
        <v>1.7577639999988293E-3</v>
      </c>
    </row>
    <row r="113" spans="1:11" x14ac:dyDescent="0.2">
      <c r="A113" s="1">
        <v>41386</v>
      </c>
      <c r="B113" s="2">
        <f t="shared" si="6"/>
        <v>25</v>
      </c>
      <c r="C113">
        <v>15.829461480000001</v>
      </c>
      <c r="D113">
        <v>25.5</v>
      </c>
      <c r="E113">
        <v>4.0939759550000003</v>
      </c>
      <c r="F113">
        <v>36.836787989999998</v>
      </c>
      <c r="G113">
        <v>5.3644580800000004</v>
      </c>
      <c r="H113">
        <v>0</v>
      </c>
      <c r="I113">
        <f t="shared" si="7"/>
        <v>37.235485525000001</v>
      </c>
      <c r="J113">
        <f t="shared" si="4"/>
        <v>41.329461479999999</v>
      </c>
      <c r="K113">
        <f t="shared" si="5"/>
        <v>0.39869753500000371</v>
      </c>
    </row>
    <row r="114" spans="1:11" x14ac:dyDescent="0.2">
      <c r="A114" s="1">
        <v>41387</v>
      </c>
      <c r="B114" s="2">
        <f t="shared" si="6"/>
        <v>25</v>
      </c>
      <c r="C114">
        <v>36.836787989999998</v>
      </c>
      <c r="D114">
        <v>0</v>
      </c>
      <c r="E114">
        <v>6.9599576240000003</v>
      </c>
      <c r="F114">
        <v>29.350203560000001</v>
      </c>
      <c r="G114">
        <v>5.7948059990000003</v>
      </c>
      <c r="H114">
        <v>0</v>
      </c>
      <c r="I114">
        <f t="shared" si="7"/>
        <v>29.876830365999997</v>
      </c>
      <c r="J114">
        <f t="shared" si="4"/>
        <v>36.836787989999998</v>
      </c>
      <c r="K114">
        <f t="shared" si="5"/>
        <v>0.5266268059999959</v>
      </c>
    </row>
    <row r="115" spans="1:11" x14ac:dyDescent="0.2">
      <c r="A115" s="1">
        <v>41388</v>
      </c>
      <c r="B115" s="2">
        <f t="shared" si="6"/>
        <v>25</v>
      </c>
      <c r="C115">
        <v>29.350203560000001</v>
      </c>
      <c r="D115">
        <v>0</v>
      </c>
      <c r="E115">
        <v>2.2798981899999999</v>
      </c>
      <c r="F115">
        <v>26.108175370000001</v>
      </c>
      <c r="G115">
        <v>7.9050445539999998</v>
      </c>
      <c r="H115">
        <v>0</v>
      </c>
      <c r="I115">
        <f t="shared" si="7"/>
        <v>27.07030537</v>
      </c>
      <c r="J115">
        <f t="shared" si="4"/>
        <v>29.350203560000001</v>
      </c>
      <c r="K115">
        <f t="shared" si="5"/>
        <v>0.96212999999999838</v>
      </c>
    </row>
    <row r="116" spans="1:11" x14ac:dyDescent="0.2">
      <c r="A116" s="1">
        <v>41389</v>
      </c>
      <c r="B116" s="2">
        <f t="shared" si="6"/>
        <v>25</v>
      </c>
      <c r="C116">
        <v>26.108175370000001</v>
      </c>
      <c r="D116">
        <v>0</v>
      </c>
      <c r="E116">
        <v>2.2987977289999999</v>
      </c>
      <c r="F116">
        <v>22.935123870000002</v>
      </c>
      <c r="G116">
        <v>7.5597127730000002</v>
      </c>
      <c r="H116">
        <v>0</v>
      </c>
      <c r="I116">
        <f t="shared" si="7"/>
        <v>23.809377641000001</v>
      </c>
      <c r="J116">
        <f t="shared" si="4"/>
        <v>26.108175370000001</v>
      </c>
      <c r="K116">
        <f t="shared" si="5"/>
        <v>0.87425377099999935</v>
      </c>
    </row>
    <row r="117" spans="1:11" x14ac:dyDescent="0.2">
      <c r="A117" s="1">
        <v>41390</v>
      </c>
      <c r="B117" s="2">
        <f t="shared" si="6"/>
        <v>25</v>
      </c>
      <c r="C117">
        <v>22.935123870000002</v>
      </c>
      <c r="D117">
        <v>0</v>
      </c>
      <c r="E117">
        <v>0.90232809999999997</v>
      </c>
      <c r="F117">
        <v>21.987176040000001</v>
      </c>
      <c r="G117">
        <v>7.118684343</v>
      </c>
      <c r="H117">
        <v>0</v>
      </c>
      <c r="I117">
        <f t="shared" si="7"/>
        <v>22.032795770000003</v>
      </c>
      <c r="J117">
        <f t="shared" si="4"/>
        <v>22.935123870000002</v>
      </c>
      <c r="K117">
        <f t="shared" si="5"/>
        <v>4.5619730000002079E-2</v>
      </c>
    </row>
    <row r="118" spans="1:11" x14ac:dyDescent="0.2">
      <c r="A118" s="1">
        <v>41391</v>
      </c>
      <c r="B118" s="2">
        <f t="shared" si="6"/>
        <v>26</v>
      </c>
      <c r="C118">
        <v>21.987176040000001</v>
      </c>
      <c r="D118">
        <v>10.3</v>
      </c>
      <c r="E118">
        <v>2.6565877379999998</v>
      </c>
      <c r="F118">
        <v>29.613084600000001</v>
      </c>
      <c r="G118">
        <v>7.553564572</v>
      </c>
      <c r="H118">
        <v>0</v>
      </c>
      <c r="I118">
        <f t="shared" si="7"/>
        <v>29.630588302000007</v>
      </c>
      <c r="J118">
        <f t="shared" si="4"/>
        <v>32.287176040000006</v>
      </c>
      <c r="K118">
        <f t="shared" si="5"/>
        <v>1.7503702000006172E-2</v>
      </c>
    </row>
    <row r="119" spans="1:11" x14ac:dyDescent="0.2">
      <c r="A119" s="1">
        <v>41392</v>
      </c>
      <c r="B119" s="2">
        <f t="shared" si="6"/>
        <v>26</v>
      </c>
      <c r="C119">
        <v>29.613084600000001</v>
      </c>
      <c r="D119">
        <v>0</v>
      </c>
      <c r="E119">
        <v>2.711238367</v>
      </c>
      <c r="F119">
        <v>26.88177074</v>
      </c>
      <c r="G119">
        <v>7.5145655949999997</v>
      </c>
      <c r="H119">
        <v>0</v>
      </c>
      <c r="I119">
        <f t="shared" si="7"/>
        <v>26.901846233000001</v>
      </c>
      <c r="J119">
        <f t="shared" si="4"/>
        <v>29.613084600000001</v>
      </c>
      <c r="K119">
        <f t="shared" si="5"/>
        <v>2.0075493000000222E-2</v>
      </c>
    </row>
    <row r="120" spans="1:11" x14ac:dyDescent="0.2">
      <c r="A120" s="1">
        <v>41393</v>
      </c>
      <c r="B120" s="2">
        <f t="shared" si="6"/>
        <v>26</v>
      </c>
      <c r="C120">
        <v>26.88177074</v>
      </c>
      <c r="D120">
        <v>0</v>
      </c>
      <c r="E120">
        <v>1.6724817030000001</v>
      </c>
      <c r="F120">
        <v>25.023125700000001</v>
      </c>
      <c r="G120">
        <v>7.1853856580000004</v>
      </c>
      <c r="H120">
        <v>0</v>
      </c>
      <c r="I120">
        <f t="shared" si="7"/>
        <v>25.209289037000001</v>
      </c>
      <c r="J120">
        <f t="shared" si="4"/>
        <v>26.88177074</v>
      </c>
      <c r="K120">
        <f t="shared" si="5"/>
        <v>0.18616333699999998</v>
      </c>
    </row>
    <row r="121" spans="1:11" x14ac:dyDescent="0.2">
      <c r="A121" s="1">
        <v>41394</v>
      </c>
      <c r="B121" s="2">
        <f t="shared" si="6"/>
        <v>26</v>
      </c>
      <c r="C121">
        <v>25.023125700000001</v>
      </c>
      <c r="D121">
        <v>0</v>
      </c>
      <c r="E121">
        <v>2.7137841699999998</v>
      </c>
      <c r="F121">
        <v>21.928150519999999</v>
      </c>
      <c r="G121">
        <v>7.5353638209999998</v>
      </c>
      <c r="H121">
        <v>0</v>
      </c>
      <c r="I121">
        <f t="shared" si="7"/>
        <v>22.309341530000001</v>
      </c>
      <c r="J121">
        <f t="shared" si="4"/>
        <v>25.023125700000001</v>
      </c>
      <c r="K121">
        <f t="shared" si="5"/>
        <v>0.381191010000002</v>
      </c>
    </row>
    <row r="122" spans="1:11" x14ac:dyDescent="0.2">
      <c r="A122" s="1">
        <v>41395</v>
      </c>
      <c r="B122" s="2">
        <f t="shared" si="6"/>
        <v>26</v>
      </c>
      <c r="C122">
        <v>21.928150519999999</v>
      </c>
      <c r="D122">
        <v>0</v>
      </c>
      <c r="E122">
        <v>1.4215653500000001</v>
      </c>
      <c r="F122">
        <v>20.506575250000001</v>
      </c>
      <c r="G122">
        <v>7.1836084769999999</v>
      </c>
      <c r="H122">
        <v>0</v>
      </c>
      <c r="I122">
        <f t="shared" si="7"/>
        <v>20.506585169999997</v>
      </c>
      <c r="J122">
        <f t="shared" si="4"/>
        <v>21.928150519999999</v>
      </c>
      <c r="K122">
        <f t="shared" si="5"/>
        <v>9.9199999965549068E-6</v>
      </c>
    </row>
    <row r="123" spans="1:11" x14ac:dyDescent="0.2">
      <c r="A123" s="1">
        <v>41396</v>
      </c>
      <c r="B123" s="2">
        <f t="shared" si="6"/>
        <v>26</v>
      </c>
      <c r="C123">
        <v>20.506575250000001</v>
      </c>
      <c r="D123">
        <v>0</v>
      </c>
      <c r="E123">
        <v>0.89254841799999995</v>
      </c>
      <c r="F123">
        <v>19.354042490000001</v>
      </c>
      <c r="G123">
        <v>8.2254218479999999</v>
      </c>
      <c r="H123">
        <v>0</v>
      </c>
      <c r="I123">
        <f t="shared" si="7"/>
        <v>19.614026832</v>
      </c>
      <c r="J123">
        <f t="shared" si="4"/>
        <v>20.506575250000001</v>
      </c>
      <c r="K123">
        <f t="shared" si="5"/>
        <v>0.2599843419999992</v>
      </c>
    </row>
    <row r="124" spans="1:11" x14ac:dyDescent="0.2">
      <c r="A124" s="1">
        <v>41397</v>
      </c>
      <c r="B124" s="2">
        <f t="shared" si="6"/>
        <v>26</v>
      </c>
      <c r="C124">
        <v>19.354042490000001</v>
      </c>
      <c r="D124">
        <v>0</v>
      </c>
      <c r="E124">
        <v>1.7196537169999999</v>
      </c>
      <c r="F124">
        <v>17.465424840000001</v>
      </c>
      <c r="G124">
        <v>8.1361774909999998</v>
      </c>
      <c r="H124">
        <v>0</v>
      </c>
      <c r="I124">
        <f t="shared" si="7"/>
        <v>17.634388773000001</v>
      </c>
      <c r="J124">
        <f t="shared" si="4"/>
        <v>19.354042490000001</v>
      </c>
      <c r="K124">
        <f t="shared" si="5"/>
        <v>0.16896393300000057</v>
      </c>
    </row>
    <row r="125" spans="1:11" x14ac:dyDescent="0.2">
      <c r="A125" s="1">
        <v>41398</v>
      </c>
      <c r="B125" s="2">
        <f t="shared" si="6"/>
        <v>26</v>
      </c>
      <c r="C125">
        <v>17.465424840000001</v>
      </c>
      <c r="D125">
        <v>0</v>
      </c>
      <c r="E125">
        <v>2.4844401839999999</v>
      </c>
      <c r="F125">
        <v>14.93486744</v>
      </c>
      <c r="G125">
        <v>7.9759870399999997</v>
      </c>
      <c r="H125">
        <v>0</v>
      </c>
      <c r="I125">
        <f t="shared" si="7"/>
        <v>14.980984656</v>
      </c>
      <c r="J125">
        <f t="shared" si="4"/>
        <v>17.465424840000001</v>
      </c>
      <c r="K125">
        <f t="shared" si="5"/>
        <v>4.6117216000000738E-2</v>
      </c>
    </row>
    <row r="126" spans="1:11" x14ac:dyDescent="0.2">
      <c r="A126" s="1">
        <v>41399</v>
      </c>
      <c r="B126" s="2">
        <f t="shared" si="6"/>
        <v>27</v>
      </c>
      <c r="C126">
        <v>14.93486744</v>
      </c>
      <c r="D126">
        <v>14.8</v>
      </c>
      <c r="E126">
        <v>1.5732285989999999</v>
      </c>
      <c r="F126">
        <v>27.062277470000002</v>
      </c>
      <c r="G126">
        <v>7.6419472319999997</v>
      </c>
      <c r="H126">
        <v>0</v>
      </c>
      <c r="I126">
        <f t="shared" si="7"/>
        <v>28.161638841000002</v>
      </c>
      <c r="J126">
        <f t="shared" si="4"/>
        <v>29.734867440000002</v>
      </c>
      <c r="K126">
        <f t="shared" si="5"/>
        <v>1.0993613710000005</v>
      </c>
    </row>
    <row r="127" spans="1:11" x14ac:dyDescent="0.2">
      <c r="A127" s="1">
        <v>41400</v>
      </c>
      <c r="B127" s="2">
        <f t="shared" si="6"/>
        <v>27</v>
      </c>
      <c r="C127">
        <v>27.062277470000002</v>
      </c>
      <c r="D127">
        <v>0</v>
      </c>
      <c r="E127">
        <v>0.453403736</v>
      </c>
      <c r="F127">
        <v>26.508208719999999</v>
      </c>
      <c r="G127">
        <v>7.155303687</v>
      </c>
      <c r="H127">
        <v>0</v>
      </c>
      <c r="I127">
        <f t="shared" si="7"/>
        <v>26.608873734000003</v>
      </c>
      <c r="J127">
        <f t="shared" si="4"/>
        <v>27.062277470000002</v>
      </c>
      <c r="K127">
        <f t="shared" si="5"/>
        <v>0.10066501400000405</v>
      </c>
    </row>
    <row r="128" spans="1:11" x14ac:dyDescent="0.2">
      <c r="A128" s="1">
        <v>41401</v>
      </c>
      <c r="B128" s="2">
        <f t="shared" si="6"/>
        <v>27</v>
      </c>
      <c r="C128">
        <v>26.508208719999999</v>
      </c>
      <c r="D128">
        <v>0</v>
      </c>
      <c r="E128">
        <v>1.30477749</v>
      </c>
      <c r="F128">
        <v>25.199323740000001</v>
      </c>
      <c r="G128">
        <v>7.7892127240000004</v>
      </c>
      <c r="H128">
        <v>0</v>
      </c>
      <c r="I128">
        <f t="shared" si="7"/>
        <v>25.20343123</v>
      </c>
      <c r="J128">
        <f t="shared" si="4"/>
        <v>26.508208719999999</v>
      </c>
      <c r="K128">
        <f t="shared" si="5"/>
        <v>4.1074899999991032E-3</v>
      </c>
    </row>
    <row r="129" spans="1:11" x14ac:dyDescent="0.2">
      <c r="A129" s="1">
        <v>41402</v>
      </c>
      <c r="B129" s="2">
        <f t="shared" si="6"/>
        <v>27</v>
      </c>
      <c r="C129">
        <v>25.199323740000001</v>
      </c>
      <c r="D129">
        <v>0</v>
      </c>
      <c r="E129">
        <v>2.159987568</v>
      </c>
      <c r="F129">
        <v>22.98587526</v>
      </c>
      <c r="G129">
        <v>8.8071358140000005</v>
      </c>
      <c r="H129">
        <v>0</v>
      </c>
      <c r="I129">
        <f t="shared" si="7"/>
        <v>23.039336171999999</v>
      </c>
      <c r="J129">
        <f t="shared" si="4"/>
        <v>25.199323740000001</v>
      </c>
      <c r="K129">
        <f t="shared" si="5"/>
        <v>5.3460911999998473E-2</v>
      </c>
    </row>
    <row r="130" spans="1:11" x14ac:dyDescent="0.2">
      <c r="A130" s="1">
        <v>41403</v>
      </c>
      <c r="B130" s="2">
        <f t="shared" si="6"/>
        <v>27</v>
      </c>
      <c r="C130">
        <v>22.98587526</v>
      </c>
      <c r="D130">
        <v>0</v>
      </c>
      <c r="E130">
        <v>1.884405699</v>
      </c>
      <c r="F130">
        <v>21.04796992</v>
      </c>
      <c r="G130">
        <v>9.0395497710000008</v>
      </c>
      <c r="H130">
        <v>0</v>
      </c>
      <c r="I130">
        <f t="shared" si="7"/>
        <v>21.101469561000002</v>
      </c>
      <c r="J130">
        <f t="shared" si="4"/>
        <v>22.98587526</v>
      </c>
      <c r="K130">
        <f t="shared" si="5"/>
        <v>5.349964100000193E-2</v>
      </c>
    </row>
    <row r="131" spans="1:11" x14ac:dyDescent="0.2">
      <c r="A131" s="1">
        <v>41404</v>
      </c>
      <c r="B131" s="2">
        <f t="shared" si="6"/>
        <v>27</v>
      </c>
      <c r="C131">
        <v>21.04796992</v>
      </c>
      <c r="D131">
        <v>0</v>
      </c>
      <c r="E131">
        <v>4.912296521</v>
      </c>
      <c r="F131">
        <v>15.651073820000001</v>
      </c>
      <c r="G131">
        <v>7.8041105919999998</v>
      </c>
      <c r="H131">
        <v>0</v>
      </c>
      <c r="I131">
        <f t="shared" si="7"/>
        <v>16.135673398999998</v>
      </c>
      <c r="J131">
        <f t="shared" ref="J131:J194" si="8">C131+D131</f>
        <v>21.04796992</v>
      </c>
      <c r="K131">
        <f t="shared" ref="K131:K194" si="9">I131-F131</f>
        <v>0.4845995789999975</v>
      </c>
    </row>
    <row r="132" spans="1:11" x14ac:dyDescent="0.2">
      <c r="A132" s="1">
        <v>41405</v>
      </c>
      <c r="B132" s="2">
        <f t="shared" ref="B132:B195" si="10">IF(D132&gt;0,B131+1,B131)</f>
        <v>27</v>
      </c>
      <c r="C132">
        <v>15.651073820000001</v>
      </c>
      <c r="D132">
        <v>0</v>
      </c>
      <c r="E132">
        <v>1.1936813070000001</v>
      </c>
      <c r="F132">
        <v>14.36194873</v>
      </c>
      <c r="G132">
        <v>7.9220843529999998</v>
      </c>
      <c r="H132">
        <v>0</v>
      </c>
      <c r="I132">
        <f t="shared" ref="I132:I195" si="11">C132+D132-E132</f>
        <v>14.457392513</v>
      </c>
      <c r="J132">
        <f t="shared" si="8"/>
        <v>15.651073820000001</v>
      </c>
      <c r="K132">
        <f t="shared" si="9"/>
        <v>9.5443783000000337E-2</v>
      </c>
    </row>
    <row r="133" spans="1:11" x14ac:dyDescent="0.2">
      <c r="A133" s="1">
        <v>41406</v>
      </c>
      <c r="B133" s="2">
        <f t="shared" si="10"/>
        <v>27</v>
      </c>
      <c r="C133">
        <v>14.36194873</v>
      </c>
      <c r="D133">
        <v>0</v>
      </c>
      <c r="E133">
        <v>2.229986791</v>
      </c>
      <c r="F133">
        <v>12.05033255</v>
      </c>
      <c r="G133">
        <v>9.0307236619999998</v>
      </c>
      <c r="H133">
        <v>0</v>
      </c>
      <c r="I133">
        <f t="shared" si="11"/>
        <v>12.131961939</v>
      </c>
      <c r="J133">
        <f t="shared" si="8"/>
        <v>14.36194873</v>
      </c>
      <c r="K133">
        <f t="shared" si="9"/>
        <v>8.1629388999999719E-2</v>
      </c>
    </row>
    <row r="134" spans="1:11" x14ac:dyDescent="0.2">
      <c r="A134" s="1">
        <v>41407</v>
      </c>
      <c r="B134" s="2">
        <f t="shared" si="10"/>
        <v>28</v>
      </c>
      <c r="C134">
        <v>12.05033255</v>
      </c>
      <c r="D134">
        <v>10</v>
      </c>
      <c r="E134">
        <v>1.7308397680000001</v>
      </c>
      <c r="F134">
        <v>20.055696900000001</v>
      </c>
      <c r="G134">
        <v>8.3393856349999993</v>
      </c>
      <c r="H134">
        <v>0</v>
      </c>
      <c r="I134">
        <f t="shared" si="11"/>
        <v>20.319492782000001</v>
      </c>
      <c r="J134">
        <f t="shared" si="8"/>
        <v>22.05033255</v>
      </c>
      <c r="K134">
        <f t="shared" si="9"/>
        <v>0.26379588200000015</v>
      </c>
    </row>
    <row r="135" spans="1:11" x14ac:dyDescent="0.2">
      <c r="A135" s="1">
        <v>41408</v>
      </c>
      <c r="B135" s="2">
        <f t="shared" si="10"/>
        <v>28</v>
      </c>
      <c r="C135">
        <v>20.055696900000001</v>
      </c>
      <c r="D135">
        <v>0</v>
      </c>
      <c r="E135">
        <v>2.5189430110000002</v>
      </c>
      <c r="F135">
        <v>17.536588070000001</v>
      </c>
      <c r="G135">
        <v>8.0002314769999998</v>
      </c>
      <c r="H135">
        <v>0</v>
      </c>
      <c r="I135">
        <f t="shared" si="11"/>
        <v>17.536753889</v>
      </c>
      <c r="J135">
        <f t="shared" si="8"/>
        <v>20.055696900000001</v>
      </c>
      <c r="K135">
        <f t="shared" si="9"/>
        <v>1.6581899999934535E-4</v>
      </c>
    </row>
    <row r="136" spans="1:11" x14ac:dyDescent="0.2">
      <c r="A136" s="1">
        <v>41409</v>
      </c>
      <c r="B136" s="2">
        <f t="shared" si="10"/>
        <v>28</v>
      </c>
      <c r="C136">
        <v>17.536588070000001</v>
      </c>
      <c r="D136">
        <v>0</v>
      </c>
      <c r="E136">
        <v>2.826117853</v>
      </c>
      <c r="F136">
        <v>14.245734819999999</v>
      </c>
      <c r="G136">
        <v>7.9716642499999999</v>
      </c>
      <c r="H136">
        <v>0</v>
      </c>
      <c r="I136">
        <f t="shared" si="11"/>
        <v>14.710470217000001</v>
      </c>
      <c r="J136">
        <f t="shared" si="8"/>
        <v>17.536588070000001</v>
      </c>
      <c r="K136">
        <f t="shared" si="9"/>
        <v>0.46473539700000188</v>
      </c>
    </row>
    <row r="137" spans="1:11" x14ac:dyDescent="0.2">
      <c r="A137" s="1">
        <v>41410</v>
      </c>
      <c r="B137" s="2">
        <f t="shared" si="10"/>
        <v>29</v>
      </c>
      <c r="C137">
        <v>14.245734819999999</v>
      </c>
      <c r="D137">
        <v>9.5</v>
      </c>
      <c r="E137">
        <v>4.244818242</v>
      </c>
      <c r="F137">
        <v>18.150132079999999</v>
      </c>
      <c r="G137">
        <v>7.5165414769999996</v>
      </c>
      <c r="H137">
        <v>0</v>
      </c>
      <c r="I137">
        <f t="shared" si="11"/>
        <v>19.500916577999998</v>
      </c>
      <c r="J137">
        <f t="shared" si="8"/>
        <v>23.745734819999999</v>
      </c>
      <c r="K137">
        <f t="shared" si="9"/>
        <v>1.3507844979999994</v>
      </c>
    </row>
    <row r="138" spans="1:11" x14ac:dyDescent="0.2">
      <c r="A138" s="1">
        <v>41411</v>
      </c>
      <c r="B138" s="2">
        <f t="shared" si="10"/>
        <v>29</v>
      </c>
      <c r="C138">
        <v>18.150132079999999</v>
      </c>
      <c r="D138">
        <v>0</v>
      </c>
      <c r="E138">
        <v>5.7614333950000001</v>
      </c>
      <c r="F138">
        <v>12.25024518</v>
      </c>
      <c r="G138">
        <v>7.5728849489999996</v>
      </c>
      <c r="H138">
        <v>0</v>
      </c>
      <c r="I138">
        <f t="shared" si="11"/>
        <v>12.388698684999998</v>
      </c>
      <c r="J138">
        <f t="shared" si="8"/>
        <v>18.150132079999999</v>
      </c>
      <c r="K138">
        <f t="shared" si="9"/>
        <v>0.13845350499999753</v>
      </c>
    </row>
    <row r="139" spans="1:11" x14ac:dyDescent="0.2">
      <c r="A139" s="1">
        <v>41412</v>
      </c>
      <c r="B139" s="2">
        <f t="shared" si="10"/>
        <v>29</v>
      </c>
      <c r="C139">
        <v>12.25024518</v>
      </c>
      <c r="D139">
        <v>0</v>
      </c>
      <c r="E139">
        <v>4.2219712920000001</v>
      </c>
      <c r="F139">
        <v>8.0280426390000006</v>
      </c>
      <c r="G139">
        <v>7.6001875160000001</v>
      </c>
      <c r="H139">
        <v>0</v>
      </c>
      <c r="I139">
        <f t="shared" si="11"/>
        <v>8.0282738880000011</v>
      </c>
      <c r="J139">
        <f t="shared" si="8"/>
        <v>12.25024518</v>
      </c>
      <c r="K139">
        <f t="shared" si="9"/>
        <v>2.3124900000048854E-4</v>
      </c>
    </row>
    <row r="140" spans="1:11" x14ac:dyDescent="0.2">
      <c r="A140" s="1">
        <v>41413</v>
      </c>
      <c r="B140" s="2">
        <f t="shared" si="10"/>
        <v>29</v>
      </c>
      <c r="C140">
        <v>8.0280426390000006</v>
      </c>
      <c r="D140">
        <v>0</v>
      </c>
      <c r="E140">
        <v>3.6651945050000001</v>
      </c>
      <c r="F140">
        <v>4.3020376349999996</v>
      </c>
      <c r="G140">
        <v>6.7280023719999997</v>
      </c>
      <c r="H140">
        <v>0</v>
      </c>
      <c r="I140">
        <f t="shared" si="11"/>
        <v>4.362848134</v>
      </c>
      <c r="J140">
        <f t="shared" si="8"/>
        <v>8.0280426390000006</v>
      </c>
      <c r="K140">
        <f t="shared" si="9"/>
        <v>6.0810499000000462E-2</v>
      </c>
    </row>
    <row r="141" spans="1:11" x14ac:dyDescent="0.2">
      <c r="A141" s="1">
        <v>41414</v>
      </c>
      <c r="B141" s="2">
        <f t="shared" si="10"/>
        <v>30</v>
      </c>
      <c r="C141">
        <v>4.3020376349999996</v>
      </c>
      <c r="D141">
        <v>25.1</v>
      </c>
      <c r="E141">
        <v>2.1616115730000001</v>
      </c>
      <c r="F141">
        <v>27.222005129999999</v>
      </c>
      <c r="G141">
        <v>7.1469524629999999</v>
      </c>
      <c r="H141">
        <v>0</v>
      </c>
      <c r="I141">
        <f t="shared" si="11"/>
        <v>27.240426061999997</v>
      </c>
      <c r="J141">
        <f t="shared" si="8"/>
        <v>29.402037634999999</v>
      </c>
      <c r="K141">
        <f t="shared" si="9"/>
        <v>1.8420931999997947E-2</v>
      </c>
    </row>
    <row r="142" spans="1:11" x14ac:dyDescent="0.2">
      <c r="A142" s="1">
        <v>41415</v>
      </c>
      <c r="B142" s="2">
        <f t="shared" si="10"/>
        <v>30</v>
      </c>
      <c r="C142">
        <v>27.222005129999999</v>
      </c>
      <c r="D142">
        <v>0</v>
      </c>
      <c r="E142">
        <v>2.6963343150000001</v>
      </c>
      <c r="F142">
        <v>24.516598040000002</v>
      </c>
      <c r="G142">
        <v>7.6913288929999997</v>
      </c>
      <c r="H142">
        <v>0</v>
      </c>
      <c r="I142">
        <f t="shared" si="11"/>
        <v>24.525670814999998</v>
      </c>
      <c r="J142">
        <f t="shared" si="8"/>
        <v>27.222005129999999</v>
      </c>
      <c r="K142">
        <f t="shared" si="9"/>
        <v>9.0727749999963692E-3</v>
      </c>
    </row>
    <row r="143" spans="1:11" x14ac:dyDescent="0.2">
      <c r="A143" s="1">
        <v>41416</v>
      </c>
      <c r="B143" s="2">
        <f t="shared" si="10"/>
        <v>31</v>
      </c>
      <c r="C143">
        <v>24.516598040000002</v>
      </c>
      <c r="D143">
        <v>14.9</v>
      </c>
      <c r="E143">
        <v>5.55171832</v>
      </c>
      <c r="F143">
        <v>33.570953979999999</v>
      </c>
      <c r="G143">
        <v>5.9317076039999996</v>
      </c>
      <c r="H143">
        <v>0</v>
      </c>
      <c r="I143">
        <f t="shared" si="11"/>
        <v>33.864879720000005</v>
      </c>
      <c r="J143">
        <f t="shared" si="8"/>
        <v>39.416598040000004</v>
      </c>
      <c r="K143">
        <f t="shared" si="9"/>
        <v>0.29392574000000593</v>
      </c>
    </row>
    <row r="144" spans="1:11" x14ac:dyDescent="0.2">
      <c r="A144" s="1">
        <v>41417</v>
      </c>
      <c r="B144" s="2">
        <f t="shared" si="10"/>
        <v>32</v>
      </c>
      <c r="C144">
        <v>33.570953979999999</v>
      </c>
      <c r="D144">
        <v>9.1999999999999993</v>
      </c>
      <c r="E144">
        <v>4.4976857929999996</v>
      </c>
      <c r="F144">
        <v>38.229573629999997</v>
      </c>
      <c r="G144">
        <v>5.9193979529999998</v>
      </c>
      <c r="H144">
        <v>0</v>
      </c>
      <c r="I144">
        <f t="shared" si="11"/>
        <v>38.273268186999999</v>
      </c>
      <c r="J144">
        <f t="shared" si="8"/>
        <v>42.770953980000002</v>
      </c>
      <c r="K144">
        <f t="shared" si="9"/>
        <v>4.3694557000002021E-2</v>
      </c>
    </row>
    <row r="145" spans="1:11" x14ac:dyDescent="0.2">
      <c r="A145" s="1">
        <v>41418</v>
      </c>
      <c r="B145" s="2">
        <f t="shared" si="10"/>
        <v>32</v>
      </c>
      <c r="C145">
        <v>38.229573629999997</v>
      </c>
      <c r="D145">
        <v>0</v>
      </c>
      <c r="E145">
        <v>4.8571518139999998</v>
      </c>
      <c r="F145">
        <v>33.350958110000001</v>
      </c>
      <c r="G145">
        <v>6.0519307419999997</v>
      </c>
      <c r="H145">
        <v>0</v>
      </c>
      <c r="I145">
        <f t="shared" si="11"/>
        <v>33.372421815999999</v>
      </c>
      <c r="J145">
        <f t="shared" si="8"/>
        <v>38.229573629999997</v>
      </c>
      <c r="K145">
        <f t="shared" si="9"/>
        <v>2.1463705999998695E-2</v>
      </c>
    </row>
    <row r="146" spans="1:11" x14ac:dyDescent="0.2">
      <c r="A146" s="1">
        <v>41419</v>
      </c>
      <c r="B146" s="2">
        <f t="shared" si="10"/>
        <v>32</v>
      </c>
      <c r="C146">
        <v>33.350958110000001</v>
      </c>
      <c r="D146">
        <v>0</v>
      </c>
      <c r="E146">
        <v>2.158219731</v>
      </c>
      <c r="F146">
        <v>30.992854980000001</v>
      </c>
      <c r="G146">
        <v>6.5379543739999999</v>
      </c>
      <c r="H146">
        <v>0</v>
      </c>
      <c r="I146">
        <f t="shared" si="11"/>
        <v>31.192738379000001</v>
      </c>
      <c r="J146">
        <f t="shared" si="8"/>
        <v>33.350958110000001</v>
      </c>
      <c r="K146">
        <f t="shared" si="9"/>
        <v>0.19988339900000085</v>
      </c>
    </row>
    <row r="147" spans="1:11" x14ac:dyDescent="0.2">
      <c r="A147" s="1">
        <v>41420</v>
      </c>
      <c r="B147" s="2">
        <f t="shared" si="10"/>
        <v>32</v>
      </c>
      <c r="C147">
        <v>30.992854980000001</v>
      </c>
      <c r="D147">
        <v>0</v>
      </c>
      <c r="E147">
        <v>6.2572857019999999</v>
      </c>
      <c r="F147">
        <v>24.73140858</v>
      </c>
      <c r="G147">
        <v>6.3816822279999998</v>
      </c>
      <c r="H147">
        <v>0</v>
      </c>
      <c r="I147">
        <f t="shared" si="11"/>
        <v>24.735569278</v>
      </c>
      <c r="J147">
        <f t="shared" si="8"/>
        <v>30.992854980000001</v>
      </c>
      <c r="K147">
        <f t="shared" si="9"/>
        <v>4.1606979999997407E-3</v>
      </c>
    </row>
    <row r="148" spans="1:11" x14ac:dyDescent="0.2">
      <c r="A148" s="1">
        <v>41421</v>
      </c>
      <c r="B148" s="2">
        <f t="shared" si="10"/>
        <v>32</v>
      </c>
      <c r="C148">
        <v>24.73140858</v>
      </c>
      <c r="D148">
        <v>0</v>
      </c>
      <c r="E148">
        <v>2.8157250970000001</v>
      </c>
      <c r="F148">
        <v>21.91048571</v>
      </c>
      <c r="G148">
        <v>6.1394594619999996</v>
      </c>
      <c r="H148">
        <v>0</v>
      </c>
      <c r="I148">
        <f t="shared" si="11"/>
        <v>21.915683482999999</v>
      </c>
      <c r="J148">
        <f t="shared" si="8"/>
        <v>24.73140858</v>
      </c>
      <c r="K148">
        <f t="shared" si="9"/>
        <v>5.1977729999990174E-3</v>
      </c>
    </row>
    <row r="149" spans="1:11" x14ac:dyDescent="0.2">
      <c r="A149" s="1">
        <v>41422</v>
      </c>
      <c r="B149" s="2">
        <f t="shared" si="10"/>
        <v>33</v>
      </c>
      <c r="C149">
        <v>21.91048571</v>
      </c>
      <c r="D149">
        <v>10.9</v>
      </c>
      <c r="E149">
        <v>4.5738255700000003</v>
      </c>
      <c r="F149">
        <v>27.644945669999998</v>
      </c>
      <c r="G149">
        <v>6.2880977099999997</v>
      </c>
      <c r="H149">
        <v>0</v>
      </c>
      <c r="I149">
        <f t="shared" si="11"/>
        <v>28.236660140000001</v>
      </c>
      <c r="J149">
        <f t="shared" si="8"/>
        <v>32.810485710000002</v>
      </c>
      <c r="K149">
        <f t="shared" si="9"/>
        <v>0.59171447000000299</v>
      </c>
    </row>
    <row r="150" spans="1:11" x14ac:dyDescent="0.2">
      <c r="A150" s="1">
        <v>41423</v>
      </c>
      <c r="B150" s="2">
        <f t="shared" si="10"/>
        <v>33</v>
      </c>
      <c r="C150">
        <v>27.644945669999998</v>
      </c>
      <c r="D150">
        <v>0</v>
      </c>
      <c r="E150">
        <v>3.6048389080000001</v>
      </c>
      <c r="F150">
        <v>23.68988062</v>
      </c>
      <c r="G150">
        <v>6.2304995700000001</v>
      </c>
      <c r="H150">
        <v>0</v>
      </c>
      <c r="I150">
        <f t="shared" si="11"/>
        <v>24.040106761999997</v>
      </c>
      <c r="J150">
        <f t="shared" si="8"/>
        <v>27.644945669999998</v>
      </c>
      <c r="K150">
        <f t="shared" si="9"/>
        <v>0.3502261419999968</v>
      </c>
    </row>
    <row r="151" spans="1:11" x14ac:dyDescent="0.2">
      <c r="A151" s="1">
        <v>41424</v>
      </c>
      <c r="B151" s="2">
        <f t="shared" si="10"/>
        <v>34</v>
      </c>
      <c r="C151">
        <v>23.68988062</v>
      </c>
      <c r="D151">
        <v>10.6</v>
      </c>
      <c r="E151">
        <v>8.7706209360000003</v>
      </c>
      <c r="F151">
        <v>25.401882789999998</v>
      </c>
      <c r="G151">
        <v>5.9591775230000001</v>
      </c>
      <c r="H151">
        <v>0</v>
      </c>
      <c r="I151">
        <f t="shared" si="11"/>
        <v>25.519259683999998</v>
      </c>
      <c r="J151">
        <f t="shared" si="8"/>
        <v>34.289880619999998</v>
      </c>
      <c r="K151">
        <f t="shared" si="9"/>
        <v>0.11737689399999951</v>
      </c>
    </row>
    <row r="152" spans="1:11" x14ac:dyDescent="0.2">
      <c r="A152" s="1">
        <v>41425</v>
      </c>
      <c r="B152" s="2">
        <f t="shared" si="10"/>
        <v>34</v>
      </c>
      <c r="C152">
        <v>25.401882789999998</v>
      </c>
      <c r="D152">
        <v>0</v>
      </c>
      <c r="E152">
        <v>2.352730969</v>
      </c>
      <c r="F152">
        <v>22.924493500000001</v>
      </c>
      <c r="G152">
        <v>5.9555578779999996</v>
      </c>
      <c r="H152">
        <v>0</v>
      </c>
      <c r="I152">
        <f t="shared" si="11"/>
        <v>23.049151820999999</v>
      </c>
      <c r="J152">
        <f t="shared" si="8"/>
        <v>25.401882789999998</v>
      </c>
      <c r="K152">
        <f t="shared" si="9"/>
        <v>0.1246583209999983</v>
      </c>
    </row>
    <row r="153" spans="1:11" x14ac:dyDescent="0.2">
      <c r="A153" s="1">
        <v>41426</v>
      </c>
      <c r="B153" s="2">
        <f t="shared" si="10"/>
        <v>35</v>
      </c>
      <c r="C153">
        <v>22.924493500000001</v>
      </c>
      <c r="D153">
        <v>9.1999999999999993</v>
      </c>
      <c r="E153">
        <v>3.7601361519999998</v>
      </c>
      <c r="F153">
        <v>27.64339683</v>
      </c>
      <c r="G153">
        <v>6.5331055129999998</v>
      </c>
      <c r="H153">
        <v>0</v>
      </c>
      <c r="I153">
        <f t="shared" si="11"/>
        <v>28.364357347999999</v>
      </c>
      <c r="J153">
        <f t="shared" si="8"/>
        <v>32.1244935</v>
      </c>
      <c r="K153">
        <f t="shared" si="9"/>
        <v>0.72096051799999827</v>
      </c>
    </row>
    <row r="154" spans="1:11" x14ac:dyDescent="0.2">
      <c r="A154" s="1">
        <v>41427</v>
      </c>
      <c r="B154" s="2">
        <f t="shared" si="10"/>
        <v>35</v>
      </c>
      <c r="C154">
        <v>27.64339683</v>
      </c>
      <c r="D154">
        <v>0</v>
      </c>
      <c r="E154">
        <v>4.3888928759999999</v>
      </c>
      <c r="F154">
        <v>23.199633710000001</v>
      </c>
      <c r="G154">
        <v>6.5284511429999998</v>
      </c>
      <c r="H154">
        <v>0</v>
      </c>
      <c r="I154">
        <f t="shared" si="11"/>
        <v>23.254503954</v>
      </c>
      <c r="J154">
        <f t="shared" si="8"/>
        <v>27.64339683</v>
      </c>
      <c r="K154">
        <f t="shared" si="9"/>
        <v>5.4870243999999957E-2</v>
      </c>
    </row>
    <row r="155" spans="1:11" x14ac:dyDescent="0.2">
      <c r="A155" s="1">
        <v>41428</v>
      </c>
      <c r="B155" s="2">
        <f t="shared" si="10"/>
        <v>36</v>
      </c>
      <c r="C155">
        <v>23.199633710000001</v>
      </c>
      <c r="D155">
        <v>9.6999999999999993</v>
      </c>
      <c r="E155">
        <v>4.4778715179999997</v>
      </c>
      <c r="F155">
        <v>28.333079000000001</v>
      </c>
      <c r="G155">
        <v>6.7878194150000004</v>
      </c>
      <c r="H155">
        <v>0</v>
      </c>
      <c r="I155">
        <f t="shared" si="11"/>
        <v>28.421762192000003</v>
      </c>
      <c r="J155">
        <f t="shared" si="8"/>
        <v>32.899633710000003</v>
      </c>
      <c r="K155">
        <f t="shared" si="9"/>
        <v>8.8683192000001299E-2</v>
      </c>
    </row>
    <row r="156" spans="1:11" x14ac:dyDescent="0.2">
      <c r="A156" s="1">
        <v>41429</v>
      </c>
      <c r="B156" s="2">
        <f t="shared" si="10"/>
        <v>36</v>
      </c>
      <c r="C156">
        <v>28.333079000000001</v>
      </c>
      <c r="D156">
        <v>0</v>
      </c>
      <c r="E156">
        <v>4.5072042510000001</v>
      </c>
      <c r="F156">
        <v>23.459185389999998</v>
      </c>
      <c r="G156">
        <v>6.8344475310000004</v>
      </c>
      <c r="H156">
        <v>0</v>
      </c>
      <c r="I156">
        <f t="shared" si="11"/>
        <v>23.825874749</v>
      </c>
      <c r="J156">
        <f t="shared" si="8"/>
        <v>28.333079000000001</v>
      </c>
      <c r="K156">
        <f t="shared" si="9"/>
        <v>0.36668935900000221</v>
      </c>
    </row>
    <row r="157" spans="1:11" x14ac:dyDescent="0.2">
      <c r="A157" s="1">
        <v>41430</v>
      </c>
      <c r="B157" s="2">
        <f t="shared" si="10"/>
        <v>36</v>
      </c>
      <c r="C157">
        <v>23.459185389999998</v>
      </c>
      <c r="D157">
        <v>0</v>
      </c>
      <c r="E157">
        <v>5.340819014</v>
      </c>
      <c r="F157">
        <v>17.814418620000001</v>
      </c>
      <c r="G157">
        <v>6.6834936709999999</v>
      </c>
      <c r="H157">
        <v>0</v>
      </c>
      <c r="I157">
        <f t="shared" si="11"/>
        <v>18.118366375999997</v>
      </c>
      <c r="J157">
        <f t="shared" si="8"/>
        <v>23.459185389999998</v>
      </c>
      <c r="K157">
        <f t="shared" si="9"/>
        <v>0.30394775599999591</v>
      </c>
    </row>
    <row r="158" spans="1:11" x14ac:dyDescent="0.2">
      <c r="A158" s="1">
        <v>41431</v>
      </c>
      <c r="B158" s="2">
        <f t="shared" si="10"/>
        <v>36</v>
      </c>
      <c r="C158">
        <v>17.814418620000001</v>
      </c>
      <c r="D158">
        <v>0</v>
      </c>
      <c r="E158">
        <v>1.7050127079999999</v>
      </c>
      <c r="F158">
        <v>15.998641040000001</v>
      </c>
      <c r="G158">
        <v>8.7183859629999994</v>
      </c>
      <c r="H158">
        <v>0</v>
      </c>
      <c r="I158">
        <f t="shared" si="11"/>
        <v>16.109405912</v>
      </c>
      <c r="J158">
        <f t="shared" si="8"/>
        <v>17.814418620000001</v>
      </c>
      <c r="K158">
        <f t="shared" si="9"/>
        <v>0.11076487199999896</v>
      </c>
    </row>
    <row r="159" spans="1:11" x14ac:dyDescent="0.2">
      <c r="A159" s="1">
        <v>41432</v>
      </c>
      <c r="B159" s="2">
        <f t="shared" si="10"/>
        <v>37</v>
      </c>
      <c r="C159">
        <v>15.998641040000001</v>
      </c>
      <c r="D159">
        <v>9.3000000000000007</v>
      </c>
      <c r="E159">
        <v>3.4941738070000001</v>
      </c>
      <c r="F159">
        <v>21.765459140000001</v>
      </c>
      <c r="G159">
        <v>8.4635432890000004</v>
      </c>
      <c r="H159">
        <v>0</v>
      </c>
      <c r="I159">
        <f t="shared" si="11"/>
        <v>21.804467233</v>
      </c>
      <c r="J159">
        <f t="shared" si="8"/>
        <v>25.29864104</v>
      </c>
      <c r="K159">
        <f t="shared" si="9"/>
        <v>3.9008092999999633E-2</v>
      </c>
    </row>
    <row r="160" spans="1:11" x14ac:dyDescent="0.2">
      <c r="A160" s="1">
        <v>41433</v>
      </c>
      <c r="B160" s="2">
        <f t="shared" si="10"/>
        <v>37</v>
      </c>
      <c r="C160">
        <v>21.765459140000001</v>
      </c>
      <c r="D160">
        <v>0</v>
      </c>
      <c r="E160">
        <v>4.166352915</v>
      </c>
      <c r="F160">
        <v>17.589010630000001</v>
      </c>
      <c r="G160">
        <v>8.7433943349999996</v>
      </c>
      <c r="H160">
        <v>0</v>
      </c>
      <c r="I160">
        <f t="shared" si="11"/>
        <v>17.599106225</v>
      </c>
      <c r="J160">
        <f t="shared" si="8"/>
        <v>21.765459140000001</v>
      </c>
      <c r="K160">
        <f t="shared" si="9"/>
        <v>1.0095594999999236E-2</v>
      </c>
    </row>
    <row r="161" spans="1:11" x14ac:dyDescent="0.2">
      <c r="A161" s="1">
        <v>41434</v>
      </c>
      <c r="B161" s="2">
        <f t="shared" si="10"/>
        <v>38</v>
      </c>
      <c r="C161">
        <v>17.589010630000001</v>
      </c>
      <c r="D161">
        <v>9.1</v>
      </c>
      <c r="E161">
        <v>3.9337569179999998</v>
      </c>
      <c r="F161">
        <v>22.658560909999999</v>
      </c>
      <c r="G161">
        <v>8.927980604</v>
      </c>
      <c r="H161">
        <v>0</v>
      </c>
      <c r="I161">
        <f t="shared" si="11"/>
        <v>22.755253711999998</v>
      </c>
      <c r="J161">
        <f t="shared" si="8"/>
        <v>26.689010629999999</v>
      </c>
      <c r="K161">
        <f t="shared" si="9"/>
        <v>9.6692801999999745E-2</v>
      </c>
    </row>
    <row r="162" spans="1:11" x14ac:dyDescent="0.2">
      <c r="A162" s="1">
        <v>41435</v>
      </c>
      <c r="B162" s="2">
        <f t="shared" si="10"/>
        <v>38</v>
      </c>
      <c r="C162">
        <v>22.658560909999999</v>
      </c>
      <c r="D162">
        <v>0</v>
      </c>
      <c r="E162">
        <v>4.8981301190000002</v>
      </c>
      <c r="F162">
        <v>17.28683766</v>
      </c>
      <c r="G162">
        <v>8.1537710220000008</v>
      </c>
      <c r="H162">
        <v>0</v>
      </c>
      <c r="I162">
        <f t="shared" si="11"/>
        <v>17.760430790999997</v>
      </c>
      <c r="J162">
        <f t="shared" si="8"/>
        <v>22.658560909999999</v>
      </c>
      <c r="K162">
        <f t="shared" si="9"/>
        <v>0.47359313099999767</v>
      </c>
    </row>
    <row r="163" spans="1:11" x14ac:dyDescent="0.2">
      <c r="A163" s="1">
        <v>41436</v>
      </c>
      <c r="B163" s="2">
        <f t="shared" si="10"/>
        <v>38</v>
      </c>
      <c r="C163">
        <v>17.28683766</v>
      </c>
      <c r="D163">
        <v>0</v>
      </c>
      <c r="E163">
        <v>3.2126335419999998</v>
      </c>
      <c r="F163">
        <v>13.979382859999999</v>
      </c>
      <c r="G163">
        <v>8.3249715460000004</v>
      </c>
      <c r="H163">
        <v>0</v>
      </c>
      <c r="I163">
        <f t="shared" si="11"/>
        <v>14.074204118000001</v>
      </c>
      <c r="J163">
        <f t="shared" si="8"/>
        <v>17.28683766</v>
      </c>
      <c r="K163">
        <f t="shared" si="9"/>
        <v>9.4821258000001407E-2</v>
      </c>
    </row>
    <row r="164" spans="1:11" x14ac:dyDescent="0.2">
      <c r="A164" s="1">
        <v>41437</v>
      </c>
      <c r="B164" s="2">
        <f t="shared" si="10"/>
        <v>39</v>
      </c>
      <c r="C164">
        <v>13.979382859999999</v>
      </c>
      <c r="D164">
        <v>14.5</v>
      </c>
      <c r="E164">
        <v>2.804246665</v>
      </c>
      <c r="F164">
        <v>25.674569940000001</v>
      </c>
      <c r="G164">
        <v>8.4178706870000006</v>
      </c>
      <c r="H164">
        <v>0</v>
      </c>
      <c r="I164">
        <f t="shared" si="11"/>
        <v>25.675136195</v>
      </c>
      <c r="J164">
        <f t="shared" si="8"/>
        <v>28.479382860000001</v>
      </c>
      <c r="K164">
        <f t="shared" si="9"/>
        <v>5.6625499999896078E-4</v>
      </c>
    </row>
    <row r="165" spans="1:11" x14ac:dyDescent="0.2">
      <c r="A165" s="1">
        <v>41438</v>
      </c>
      <c r="B165" s="2">
        <f t="shared" si="10"/>
        <v>39</v>
      </c>
      <c r="C165">
        <v>25.674569940000001</v>
      </c>
      <c r="D165">
        <v>0</v>
      </c>
      <c r="E165">
        <v>3.3815374560000002</v>
      </c>
      <c r="F165">
        <v>22.29190371</v>
      </c>
      <c r="G165">
        <v>6.8976566249999998</v>
      </c>
      <c r="H165">
        <v>0</v>
      </c>
      <c r="I165">
        <f t="shared" si="11"/>
        <v>22.293032484000001</v>
      </c>
      <c r="J165">
        <f t="shared" si="8"/>
        <v>25.674569940000001</v>
      </c>
      <c r="K165">
        <f t="shared" si="9"/>
        <v>1.1287740000014423E-3</v>
      </c>
    </row>
    <row r="166" spans="1:11" x14ac:dyDescent="0.2">
      <c r="A166" s="1">
        <v>41439</v>
      </c>
      <c r="B166" s="2">
        <f t="shared" si="10"/>
        <v>39</v>
      </c>
      <c r="C166">
        <v>22.29190371</v>
      </c>
      <c r="D166">
        <v>0</v>
      </c>
      <c r="E166">
        <v>2.2108124299999998</v>
      </c>
      <c r="F166">
        <v>19.401257319999999</v>
      </c>
      <c r="G166">
        <v>7.224962272</v>
      </c>
      <c r="H166">
        <v>0</v>
      </c>
      <c r="I166">
        <f t="shared" si="11"/>
        <v>20.081091279999999</v>
      </c>
      <c r="J166">
        <f t="shared" si="8"/>
        <v>22.29190371</v>
      </c>
      <c r="K166">
        <f t="shared" si="9"/>
        <v>0.67983395999999985</v>
      </c>
    </row>
    <row r="167" spans="1:11" x14ac:dyDescent="0.2">
      <c r="A167" s="1">
        <v>41440</v>
      </c>
      <c r="B167" s="2">
        <f t="shared" si="10"/>
        <v>39</v>
      </c>
      <c r="C167">
        <v>19.401257319999999</v>
      </c>
      <c r="D167">
        <v>0</v>
      </c>
      <c r="E167">
        <v>4.1873770090000004</v>
      </c>
      <c r="F167">
        <v>15.10892572</v>
      </c>
      <c r="G167">
        <v>7.0396334249999999</v>
      </c>
      <c r="H167">
        <v>0</v>
      </c>
      <c r="I167">
        <f t="shared" si="11"/>
        <v>15.213880310999999</v>
      </c>
      <c r="J167">
        <f t="shared" si="8"/>
        <v>19.401257319999999</v>
      </c>
      <c r="K167">
        <f t="shared" si="9"/>
        <v>0.10495459099999849</v>
      </c>
    </row>
    <row r="168" spans="1:11" x14ac:dyDescent="0.2">
      <c r="A168" s="1">
        <v>41441</v>
      </c>
      <c r="B168" s="2">
        <f t="shared" si="10"/>
        <v>39</v>
      </c>
      <c r="C168">
        <v>15.10892572</v>
      </c>
      <c r="D168">
        <v>0</v>
      </c>
      <c r="E168">
        <v>3.0028961060000001</v>
      </c>
      <c r="F168">
        <v>12.105902589999999</v>
      </c>
      <c r="G168">
        <v>8.4933267210000007</v>
      </c>
      <c r="H168">
        <v>0</v>
      </c>
      <c r="I168">
        <f t="shared" si="11"/>
        <v>12.106029614000001</v>
      </c>
      <c r="J168">
        <f t="shared" si="8"/>
        <v>15.10892572</v>
      </c>
      <c r="K168">
        <f t="shared" si="9"/>
        <v>1.2702400000108582E-4</v>
      </c>
    </row>
    <row r="169" spans="1:11" x14ac:dyDescent="0.2">
      <c r="A169" s="1">
        <v>41442</v>
      </c>
      <c r="B169" s="2">
        <f t="shared" si="10"/>
        <v>40</v>
      </c>
      <c r="C169">
        <v>12.105902589999999</v>
      </c>
      <c r="D169">
        <v>10.9</v>
      </c>
      <c r="E169">
        <v>1.2418166020000001</v>
      </c>
      <c r="F169">
        <v>21.662096129999998</v>
      </c>
      <c r="G169">
        <v>9.9842726099999997</v>
      </c>
      <c r="H169">
        <v>0</v>
      </c>
      <c r="I169">
        <f t="shared" si="11"/>
        <v>21.764085987999998</v>
      </c>
      <c r="J169">
        <f t="shared" si="8"/>
        <v>23.005902589999998</v>
      </c>
      <c r="K169">
        <f t="shared" si="9"/>
        <v>0.1019898579999996</v>
      </c>
    </row>
    <row r="170" spans="1:11" x14ac:dyDescent="0.2">
      <c r="A170" s="1">
        <v>41443</v>
      </c>
      <c r="B170" s="2">
        <f t="shared" si="10"/>
        <v>40</v>
      </c>
      <c r="C170">
        <v>21.662096129999998</v>
      </c>
      <c r="D170">
        <v>0</v>
      </c>
      <c r="E170">
        <v>1.774452865</v>
      </c>
      <c r="F170">
        <v>19.856689670000002</v>
      </c>
      <c r="G170">
        <v>9.9173720999999997</v>
      </c>
      <c r="H170">
        <v>0</v>
      </c>
      <c r="I170">
        <f t="shared" si="11"/>
        <v>19.887643264999998</v>
      </c>
      <c r="J170">
        <f t="shared" si="8"/>
        <v>21.662096129999998</v>
      </c>
      <c r="K170">
        <f t="shared" si="9"/>
        <v>3.095359499999617E-2</v>
      </c>
    </row>
    <row r="171" spans="1:11" x14ac:dyDescent="0.2">
      <c r="A171" s="1">
        <v>41444</v>
      </c>
      <c r="B171" s="2">
        <f t="shared" si="10"/>
        <v>41</v>
      </c>
      <c r="C171">
        <v>19.856689670000002</v>
      </c>
      <c r="D171">
        <v>10.199999999999999</v>
      </c>
      <c r="E171">
        <v>1.8814197930000001</v>
      </c>
      <c r="F171">
        <v>28.044853140000001</v>
      </c>
      <c r="G171">
        <v>9.9113841750000002</v>
      </c>
      <c r="H171">
        <v>0</v>
      </c>
      <c r="I171">
        <f t="shared" si="11"/>
        <v>28.175269877000002</v>
      </c>
      <c r="J171">
        <f t="shared" si="8"/>
        <v>30.056689670000001</v>
      </c>
      <c r="K171">
        <f t="shared" si="9"/>
        <v>0.13041673700000089</v>
      </c>
    </row>
    <row r="172" spans="1:11" x14ac:dyDescent="0.2">
      <c r="A172" s="1">
        <v>41445</v>
      </c>
      <c r="B172" s="2">
        <f t="shared" si="10"/>
        <v>41</v>
      </c>
      <c r="C172">
        <v>28.044853140000001</v>
      </c>
      <c r="D172">
        <v>0</v>
      </c>
      <c r="E172">
        <v>3.182614466</v>
      </c>
      <c r="F172">
        <v>24.860033009999999</v>
      </c>
      <c r="G172">
        <v>9.9195805440000004</v>
      </c>
      <c r="H172">
        <v>0</v>
      </c>
      <c r="I172">
        <f t="shared" si="11"/>
        <v>24.862238674</v>
      </c>
      <c r="J172">
        <f t="shared" si="8"/>
        <v>28.044853140000001</v>
      </c>
      <c r="K172">
        <f t="shared" si="9"/>
        <v>2.2056640000016614E-3</v>
      </c>
    </row>
    <row r="173" spans="1:11" x14ac:dyDescent="0.2">
      <c r="A173" s="1">
        <v>41446</v>
      </c>
      <c r="B173" s="2">
        <f t="shared" si="10"/>
        <v>41</v>
      </c>
      <c r="C173">
        <v>24.860033009999999</v>
      </c>
      <c r="D173">
        <v>0</v>
      </c>
      <c r="E173">
        <v>1.1143467380000001</v>
      </c>
      <c r="F173">
        <v>23.74567978</v>
      </c>
      <c r="G173">
        <v>9.9791973980000002</v>
      </c>
      <c r="H173">
        <v>0</v>
      </c>
      <c r="I173">
        <f t="shared" si="11"/>
        <v>23.745686272</v>
      </c>
      <c r="J173">
        <f t="shared" si="8"/>
        <v>24.860033009999999</v>
      </c>
      <c r="K173">
        <f t="shared" si="9"/>
        <v>6.492000000690723E-6</v>
      </c>
    </row>
    <row r="174" spans="1:11" x14ac:dyDescent="0.2">
      <c r="A174" s="1">
        <v>41447</v>
      </c>
      <c r="B174" s="2">
        <f t="shared" si="10"/>
        <v>41</v>
      </c>
      <c r="C174">
        <v>23.74567978</v>
      </c>
      <c r="D174">
        <v>0</v>
      </c>
      <c r="E174">
        <v>2.545215776</v>
      </c>
      <c r="F174">
        <v>21.142607479999999</v>
      </c>
      <c r="G174">
        <v>9.9840181860000001</v>
      </c>
      <c r="H174">
        <v>0</v>
      </c>
      <c r="I174">
        <f t="shared" si="11"/>
        <v>21.200464004000001</v>
      </c>
      <c r="J174">
        <f t="shared" si="8"/>
        <v>23.74567978</v>
      </c>
      <c r="K174">
        <f t="shared" si="9"/>
        <v>5.7856524000001741E-2</v>
      </c>
    </row>
    <row r="175" spans="1:11" x14ac:dyDescent="0.2">
      <c r="A175" s="1">
        <v>41448</v>
      </c>
      <c r="B175" s="2">
        <f t="shared" si="10"/>
        <v>42</v>
      </c>
      <c r="C175">
        <v>21.142607479999999</v>
      </c>
      <c r="D175">
        <v>10.6</v>
      </c>
      <c r="E175">
        <v>2.8943967960000001</v>
      </c>
      <c r="F175">
        <v>28.81552615</v>
      </c>
      <c r="G175">
        <v>9.9768431540000009</v>
      </c>
      <c r="H175">
        <v>0</v>
      </c>
      <c r="I175">
        <f t="shared" si="11"/>
        <v>28.848210683999998</v>
      </c>
      <c r="J175">
        <f t="shared" si="8"/>
        <v>31.742607479999997</v>
      </c>
      <c r="K175">
        <f t="shared" si="9"/>
        <v>3.2684533999997711E-2</v>
      </c>
    </row>
    <row r="176" spans="1:11" x14ac:dyDescent="0.2">
      <c r="A176" s="1">
        <v>41449</v>
      </c>
      <c r="B176" s="2">
        <f t="shared" si="10"/>
        <v>42</v>
      </c>
      <c r="C176">
        <v>28.81552615</v>
      </c>
      <c r="D176">
        <v>0</v>
      </c>
      <c r="E176">
        <v>2.093862643</v>
      </c>
      <c r="F176">
        <v>26.673223019999998</v>
      </c>
      <c r="G176">
        <v>9.9616317540000008</v>
      </c>
      <c r="H176">
        <v>0</v>
      </c>
      <c r="I176">
        <f t="shared" si="11"/>
        <v>26.721663506999999</v>
      </c>
      <c r="J176">
        <f t="shared" si="8"/>
        <v>28.81552615</v>
      </c>
      <c r="K176">
        <f t="shared" si="9"/>
        <v>4.8440487000000587E-2</v>
      </c>
    </row>
    <row r="177" spans="1:11" x14ac:dyDescent="0.2">
      <c r="A177" s="1">
        <v>41450</v>
      </c>
      <c r="B177" s="2">
        <f t="shared" si="10"/>
        <v>42</v>
      </c>
      <c r="C177">
        <v>26.673223019999998</v>
      </c>
      <c r="D177">
        <v>0</v>
      </c>
      <c r="E177">
        <v>3.500216081</v>
      </c>
      <c r="F177">
        <v>23.172915339999999</v>
      </c>
      <c r="G177">
        <v>9.9675791159999996</v>
      </c>
      <c r="H177">
        <v>0</v>
      </c>
      <c r="I177">
        <f t="shared" si="11"/>
        <v>23.173006938999997</v>
      </c>
      <c r="J177">
        <f t="shared" si="8"/>
        <v>26.673223019999998</v>
      </c>
      <c r="K177">
        <f t="shared" si="9"/>
        <v>9.1598999997444253E-5</v>
      </c>
    </row>
    <row r="178" spans="1:11" x14ac:dyDescent="0.2">
      <c r="A178" s="1">
        <v>41451</v>
      </c>
      <c r="B178" s="2">
        <f t="shared" si="10"/>
        <v>42</v>
      </c>
      <c r="C178">
        <v>23.172915339999999</v>
      </c>
      <c r="D178">
        <v>0</v>
      </c>
      <c r="E178">
        <v>2.5237463089999999</v>
      </c>
      <c r="F178">
        <v>20.193042210000002</v>
      </c>
      <c r="G178">
        <v>9.9398867499999994</v>
      </c>
      <c r="H178">
        <v>0</v>
      </c>
      <c r="I178">
        <f t="shared" si="11"/>
        <v>20.649169031</v>
      </c>
      <c r="J178">
        <f t="shared" si="8"/>
        <v>23.172915339999999</v>
      </c>
      <c r="K178">
        <f t="shared" si="9"/>
        <v>0.45612682099999802</v>
      </c>
    </row>
    <row r="179" spans="1:11" x14ac:dyDescent="0.2">
      <c r="A179" s="1">
        <v>41452</v>
      </c>
      <c r="B179" s="2">
        <f t="shared" si="10"/>
        <v>43</v>
      </c>
      <c r="C179">
        <v>20.193042210000002</v>
      </c>
      <c r="D179">
        <v>11</v>
      </c>
      <c r="E179">
        <v>1.9787235160000001</v>
      </c>
      <c r="F179">
        <v>28.96046887</v>
      </c>
      <c r="G179">
        <v>9.9842280389999996</v>
      </c>
      <c r="H179">
        <v>0</v>
      </c>
      <c r="I179">
        <f t="shared" si="11"/>
        <v>29.214318694000003</v>
      </c>
      <c r="J179">
        <f t="shared" si="8"/>
        <v>31.193042210000002</v>
      </c>
      <c r="K179">
        <f t="shared" si="9"/>
        <v>0.25384982400000311</v>
      </c>
    </row>
    <row r="180" spans="1:11" x14ac:dyDescent="0.2">
      <c r="A180" s="1">
        <v>41453</v>
      </c>
      <c r="B180" s="2">
        <f t="shared" si="10"/>
        <v>43</v>
      </c>
      <c r="C180">
        <v>28.96046887</v>
      </c>
      <c r="D180">
        <v>0</v>
      </c>
      <c r="E180">
        <v>3.8643678100000001</v>
      </c>
      <c r="F180">
        <v>25.09428342</v>
      </c>
      <c r="G180">
        <v>9.6288123789999993</v>
      </c>
      <c r="H180">
        <v>0</v>
      </c>
      <c r="I180">
        <f t="shared" si="11"/>
        <v>25.096101059999999</v>
      </c>
      <c r="J180">
        <f t="shared" si="8"/>
        <v>28.96046887</v>
      </c>
      <c r="K180">
        <f t="shared" si="9"/>
        <v>1.8176399999987325E-3</v>
      </c>
    </row>
    <row r="181" spans="1:11" x14ac:dyDescent="0.2">
      <c r="A181" s="1">
        <v>41454</v>
      </c>
      <c r="B181" s="2">
        <f t="shared" si="10"/>
        <v>44</v>
      </c>
      <c r="C181">
        <v>25.09428342</v>
      </c>
      <c r="D181">
        <v>11</v>
      </c>
      <c r="E181">
        <v>2.765111176</v>
      </c>
      <c r="F181">
        <v>33.307329809999999</v>
      </c>
      <c r="G181">
        <v>10.170192549999999</v>
      </c>
      <c r="H181">
        <v>0</v>
      </c>
      <c r="I181">
        <f t="shared" si="11"/>
        <v>33.329172243999999</v>
      </c>
      <c r="J181">
        <f t="shared" si="8"/>
        <v>36.094283419999996</v>
      </c>
      <c r="K181">
        <f t="shared" si="9"/>
        <v>2.1842433999999855E-2</v>
      </c>
    </row>
    <row r="182" spans="1:11" x14ac:dyDescent="0.2">
      <c r="A182" s="1">
        <v>41455</v>
      </c>
      <c r="B182" s="2">
        <f t="shared" si="10"/>
        <v>44</v>
      </c>
      <c r="C182">
        <v>33.307329809999999</v>
      </c>
      <c r="D182">
        <v>0</v>
      </c>
      <c r="E182">
        <v>1.861264239</v>
      </c>
      <c r="F182">
        <v>31.43871961</v>
      </c>
      <c r="G182">
        <v>10.389972439999999</v>
      </c>
      <c r="H182">
        <v>0</v>
      </c>
      <c r="I182">
        <f t="shared" si="11"/>
        <v>31.446065570999998</v>
      </c>
      <c r="J182">
        <f t="shared" si="8"/>
        <v>33.307329809999999</v>
      </c>
      <c r="K182">
        <f t="shared" si="9"/>
        <v>7.3459609999986242E-3</v>
      </c>
    </row>
    <row r="183" spans="1:11" x14ac:dyDescent="0.2">
      <c r="A183" s="1">
        <v>41456</v>
      </c>
      <c r="B183" s="2">
        <f t="shared" si="10"/>
        <v>44</v>
      </c>
      <c r="C183">
        <v>31.43871961</v>
      </c>
      <c r="D183">
        <v>0</v>
      </c>
      <c r="E183">
        <v>2.2845686920000001</v>
      </c>
      <c r="F183">
        <v>29.153916219999999</v>
      </c>
      <c r="G183">
        <v>10.565795530000001</v>
      </c>
      <c r="H183">
        <v>0</v>
      </c>
      <c r="I183">
        <f t="shared" si="11"/>
        <v>29.154150917999999</v>
      </c>
      <c r="J183">
        <f t="shared" si="8"/>
        <v>31.43871961</v>
      </c>
      <c r="K183">
        <f t="shared" si="9"/>
        <v>2.3469799999986662E-4</v>
      </c>
    </row>
    <row r="184" spans="1:11" x14ac:dyDescent="0.2">
      <c r="A184" s="1">
        <v>41457</v>
      </c>
      <c r="B184" s="2">
        <f t="shared" si="10"/>
        <v>44</v>
      </c>
      <c r="C184">
        <v>29.153916219999999</v>
      </c>
      <c r="D184">
        <v>0</v>
      </c>
      <c r="E184">
        <v>2.3255733319999998</v>
      </c>
      <c r="F184">
        <v>26.809967400000001</v>
      </c>
      <c r="G184">
        <v>10.480372490000001</v>
      </c>
      <c r="H184">
        <v>0</v>
      </c>
      <c r="I184">
        <f t="shared" si="11"/>
        <v>26.828342887999998</v>
      </c>
      <c r="J184">
        <f t="shared" si="8"/>
        <v>29.153916219999999</v>
      </c>
      <c r="K184">
        <f t="shared" si="9"/>
        <v>1.8375487999996665E-2</v>
      </c>
    </row>
    <row r="185" spans="1:11" x14ac:dyDescent="0.2">
      <c r="A185" s="1">
        <v>41458</v>
      </c>
      <c r="B185" s="2">
        <f t="shared" si="10"/>
        <v>45</v>
      </c>
      <c r="C185">
        <v>26.809967400000001</v>
      </c>
      <c r="D185">
        <v>10.199999999999999</v>
      </c>
      <c r="E185">
        <v>2.2045947030000002</v>
      </c>
      <c r="F185">
        <v>34.285803909999998</v>
      </c>
      <c r="G185">
        <v>10.822964649999999</v>
      </c>
      <c r="H185">
        <v>0</v>
      </c>
      <c r="I185">
        <f t="shared" si="11"/>
        <v>34.805372697000003</v>
      </c>
      <c r="J185">
        <f t="shared" si="8"/>
        <v>37.009967400000001</v>
      </c>
      <c r="K185">
        <f t="shared" si="9"/>
        <v>0.51956878700000431</v>
      </c>
    </row>
    <row r="186" spans="1:11" x14ac:dyDescent="0.2">
      <c r="A186" s="1">
        <v>41459</v>
      </c>
      <c r="B186" s="2">
        <f t="shared" si="10"/>
        <v>45</v>
      </c>
      <c r="C186">
        <v>34.285803909999998</v>
      </c>
      <c r="D186">
        <v>0</v>
      </c>
      <c r="E186">
        <v>2.1622144599999999</v>
      </c>
      <c r="F186">
        <v>32.004784579999999</v>
      </c>
      <c r="G186">
        <v>10.71230207</v>
      </c>
      <c r="H186">
        <v>0</v>
      </c>
      <c r="I186">
        <f t="shared" si="11"/>
        <v>32.123589449999997</v>
      </c>
      <c r="J186">
        <f t="shared" si="8"/>
        <v>34.285803909999998</v>
      </c>
      <c r="K186">
        <f t="shared" si="9"/>
        <v>0.11880486999999817</v>
      </c>
    </row>
    <row r="187" spans="1:11" x14ac:dyDescent="0.2">
      <c r="A187" s="1">
        <v>41460</v>
      </c>
      <c r="B187" s="2">
        <f t="shared" si="10"/>
        <v>45</v>
      </c>
      <c r="C187">
        <v>32.004784579999999</v>
      </c>
      <c r="D187">
        <v>0</v>
      </c>
      <c r="E187">
        <v>4.7182358930000001</v>
      </c>
      <c r="F187">
        <v>27.27500448</v>
      </c>
      <c r="G187">
        <v>10.214041119999999</v>
      </c>
      <c r="H187">
        <v>0</v>
      </c>
      <c r="I187">
        <f t="shared" si="11"/>
        <v>27.286548687</v>
      </c>
      <c r="J187">
        <f t="shared" si="8"/>
        <v>32.004784579999999</v>
      </c>
      <c r="K187">
        <f t="shared" si="9"/>
        <v>1.1544207000000029E-2</v>
      </c>
    </row>
    <row r="188" spans="1:11" x14ac:dyDescent="0.2">
      <c r="A188" s="1">
        <v>41461</v>
      </c>
      <c r="B188" s="2">
        <f t="shared" si="10"/>
        <v>46</v>
      </c>
      <c r="C188">
        <v>27.27500448</v>
      </c>
      <c r="D188">
        <v>10.8</v>
      </c>
      <c r="E188">
        <v>2.761858835</v>
      </c>
      <c r="F188">
        <v>35.311631589999998</v>
      </c>
      <c r="G188">
        <v>10.193516320000001</v>
      </c>
      <c r="H188">
        <v>0</v>
      </c>
      <c r="I188">
        <f t="shared" si="11"/>
        <v>35.313145645000006</v>
      </c>
      <c r="J188">
        <f t="shared" si="8"/>
        <v>38.075004480000004</v>
      </c>
      <c r="K188">
        <f t="shared" si="9"/>
        <v>1.5140550000083408E-3</v>
      </c>
    </row>
    <row r="189" spans="1:11" x14ac:dyDescent="0.2">
      <c r="A189" s="1">
        <v>41462</v>
      </c>
      <c r="B189" s="2">
        <f t="shared" si="10"/>
        <v>46</v>
      </c>
      <c r="C189">
        <v>35.311631589999998</v>
      </c>
      <c r="D189">
        <v>0</v>
      </c>
      <c r="E189">
        <v>2.872441174</v>
      </c>
      <c r="F189">
        <v>32.415530369999999</v>
      </c>
      <c r="G189">
        <v>10.841297150000001</v>
      </c>
      <c r="H189">
        <v>0</v>
      </c>
      <c r="I189">
        <f t="shared" si="11"/>
        <v>32.439190415999995</v>
      </c>
      <c r="J189">
        <f t="shared" si="8"/>
        <v>35.311631589999998</v>
      </c>
      <c r="K189">
        <f t="shared" si="9"/>
        <v>2.3660045999996271E-2</v>
      </c>
    </row>
    <row r="190" spans="1:11" x14ac:dyDescent="0.2">
      <c r="A190" s="1">
        <v>41463</v>
      </c>
      <c r="B190" s="2">
        <f t="shared" si="10"/>
        <v>46</v>
      </c>
      <c r="C190">
        <v>32.415530369999999</v>
      </c>
      <c r="D190">
        <v>0</v>
      </c>
      <c r="E190">
        <v>2.2841739479999998</v>
      </c>
      <c r="F190">
        <v>29.50847345</v>
      </c>
      <c r="G190">
        <v>10.738546639999999</v>
      </c>
      <c r="H190">
        <v>0</v>
      </c>
      <c r="I190">
        <f t="shared" si="11"/>
        <v>30.131356422</v>
      </c>
      <c r="J190">
        <f t="shared" si="8"/>
        <v>32.415530369999999</v>
      </c>
      <c r="K190">
        <f t="shared" si="9"/>
        <v>0.62288297199999931</v>
      </c>
    </row>
    <row r="191" spans="1:11" x14ac:dyDescent="0.2">
      <c r="A191" s="1">
        <v>41464</v>
      </c>
      <c r="B191" s="2">
        <f t="shared" si="10"/>
        <v>46</v>
      </c>
      <c r="C191">
        <v>29.50847345</v>
      </c>
      <c r="D191">
        <v>0</v>
      </c>
      <c r="E191">
        <v>1.974021963</v>
      </c>
      <c r="F191">
        <v>27.33745931</v>
      </c>
      <c r="G191">
        <v>9.9541100230000001</v>
      </c>
      <c r="H191">
        <v>0</v>
      </c>
      <c r="I191">
        <f t="shared" si="11"/>
        <v>27.534451487000002</v>
      </c>
      <c r="J191">
        <f t="shared" si="8"/>
        <v>29.50847345</v>
      </c>
      <c r="K191">
        <f t="shared" si="9"/>
        <v>0.19699217700000204</v>
      </c>
    </row>
    <row r="192" spans="1:11" x14ac:dyDescent="0.2">
      <c r="A192" s="1">
        <v>41465</v>
      </c>
      <c r="B192" s="2">
        <f t="shared" si="10"/>
        <v>46</v>
      </c>
      <c r="C192">
        <v>27.33745931</v>
      </c>
      <c r="D192">
        <v>0</v>
      </c>
      <c r="E192">
        <v>3.055370972</v>
      </c>
      <c r="F192">
        <v>24.185401469999999</v>
      </c>
      <c r="G192">
        <v>9.9347031309999991</v>
      </c>
      <c r="H192">
        <v>0</v>
      </c>
      <c r="I192">
        <f t="shared" si="11"/>
        <v>24.282088338000001</v>
      </c>
      <c r="J192">
        <f t="shared" si="8"/>
        <v>27.33745931</v>
      </c>
      <c r="K192">
        <f t="shared" si="9"/>
        <v>9.668686800000259E-2</v>
      </c>
    </row>
    <row r="193" spans="1:11" x14ac:dyDescent="0.2">
      <c r="A193" s="1">
        <v>41466</v>
      </c>
      <c r="B193" s="2">
        <f t="shared" si="10"/>
        <v>46</v>
      </c>
      <c r="C193">
        <v>24.185401469999999</v>
      </c>
      <c r="D193">
        <v>0</v>
      </c>
      <c r="E193">
        <v>1.717705104</v>
      </c>
      <c r="F193">
        <v>22.42733024</v>
      </c>
      <c r="G193">
        <v>10.5887434</v>
      </c>
      <c r="H193">
        <v>0</v>
      </c>
      <c r="I193">
        <f t="shared" si="11"/>
        <v>22.467696365999998</v>
      </c>
      <c r="J193">
        <f t="shared" si="8"/>
        <v>24.185401469999999</v>
      </c>
      <c r="K193">
        <f t="shared" si="9"/>
        <v>4.0366125999998559E-2</v>
      </c>
    </row>
    <row r="194" spans="1:11" x14ac:dyDescent="0.2">
      <c r="A194" s="1">
        <v>41467</v>
      </c>
      <c r="B194" s="2">
        <f t="shared" si="10"/>
        <v>46</v>
      </c>
      <c r="C194">
        <v>22.42733024</v>
      </c>
      <c r="D194">
        <v>0</v>
      </c>
      <c r="E194">
        <v>2.2255909539999998</v>
      </c>
      <c r="F194">
        <v>20.153764729999999</v>
      </c>
      <c r="G194">
        <v>9.9606461339999992</v>
      </c>
      <c r="H194">
        <v>0</v>
      </c>
      <c r="I194">
        <f t="shared" si="11"/>
        <v>20.201739285999999</v>
      </c>
      <c r="J194">
        <f t="shared" si="8"/>
        <v>22.42733024</v>
      </c>
      <c r="K194">
        <f t="shared" si="9"/>
        <v>4.7974555999999779E-2</v>
      </c>
    </row>
    <row r="195" spans="1:11" x14ac:dyDescent="0.2">
      <c r="A195" s="1">
        <v>41468</v>
      </c>
      <c r="B195" s="2">
        <f t="shared" si="10"/>
        <v>46</v>
      </c>
      <c r="C195">
        <v>20.153764729999999</v>
      </c>
      <c r="D195">
        <v>0</v>
      </c>
      <c r="E195">
        <v>2.8623461200000002</v>
      </c>
      <c r="F195">
        <v>16.29586793</v>
      </c>
      <c r="G195">
        <v>10.212694819999999</v>
      </c>
      <c r="H195">
        <v>0</v>
      </c>
      <c r="I195">
        <f t="shared" si="11"/>
        <v>17.291418609999997</v>
      </c>
      <c r="J195">
        <f t="shared" ref="J195:J258" si="12">C195+D195</f>
        <v>20.153764729999999</v>
      </c>
      <c r="K195">
        <f t="shared" ref="K195:K258" si="13">I195-F195</f>
        <v>0.99555067999999736</v>
      </c>
    </row>
    <row r="196" spans="1:11" x14ac:dyDescent="0.2">
      <c r="A196" s="1">
        <v>41469</v>
      </c>
      <c r="B196" s="2">
        <f t="shared" ref="B196:B259" si="14">IF(D196&gt;0,B195+1,B195)</f>
        <v>47</v>
      </c>
      <c r="C196">
        <v>16.29586793</v>
      </c>
      <c r="D196">
        <v>10.5</v>
      </c>
      <c r="E196">
        <v>3.4452373989999998</v>
      </c>
      <c r="F196">
        <v>23.340895419999999</v>
      </c>
      <c r="G196">
        <v>10.24649745</v>
      </c>
      <c r="H196">
        <v>0</v>
      </c>
      <c r="I196">
        <f t="shared" ref="I196:I259" si="15">C196+D196-E196</f>
        <v>23.350630531</v>
      </c>
      <c r="J196">
        <f t="shared" si="12"/>
        <v>26.79586793</v>
      </c>
      <c r="K196">
        <f t="shared" si="13"/>
        <v>9.7351110000012397E-3</v>
      </c>
    </row>
    <row r="197" spans="1:11" x14ac:dyDescent="0.2">
      <c r="A197" s="1">
        <v>41470</v>
      </c>
      <c r="B197" s="2">
        <f t="shared" si="14"/>
        <v>47</v>
      </c>
      <c r="C197">
        <v>23.340895419999999</v>
      </c>
      <c r="D197">
        <v>0</v>
      </c>
      <c r="E197">
        <v>1.1048281179999999</v>
      </c>
      <c r="F197">
        <v>20.800370520000001</v>
      </c>
      <c r="G197">
        <v>10.36578355</v>
      </c>
      <c r="H197">
        <v>0</v>
      </c>
      <c r="I197">
        <f t="shared" si="15"/>
        <v>22.236067301999999</v>
      </c>
      <c r="J197">
        <f t="shared" si="12"/>
        <v>23.340895419999999</v>
      </c>
      <c r="K197">
        <f t="shared" si="13"/>
        <v>1.4356967819999973</v>
      </c>
    </row>
    <row r="198" spans="1:11" x14ac:dyDescent="0.2">
      <c r="A198" s="1">
        <v>41471</v>
      </c>
      <c r="B198" s="2">
        <f t="shared" si="14"/>
        <v>47</v>
      </c>
      <c r="C198">
        <v>20.800370520000001</v>
      </c>
      <c r="D198">
        <v>0</v>
      </c>
      <c r="E198">
        <v>2.2331597159999999</v>
      </c>
      <c r="F198">
        <v>18.4637402</v>
      </c>
      <c r="G198">
        <v>9.1799614629999997</v>
      </c>
      <c r="H198">
        <v>0</v>
      </c>
      <c r="I198">
        <f t="shared" si="15"/>
        <v>18.567210804000002</v>
      </c>
      <c r="J198">
        <f t="shared" si="12"/>
        <v>20.800370520000001</v>
      </c>
      <c r="K198">
        <f t="shared" si="13"/>
        <v>0.10347060400000174</v>
      </c>
    </row>
    <row r="199" spans="1:11" x14ac:dyDescent="0.2">
      <c r="A199" s="1">
        <v>41472</v>
      </c>
      <c r="B199" s="2">
        <f t="shared" si="14"/>
        <v>47</v>
      </c>
      <c r="C199">
        <v>18.4637402</v>
      </c>
      <c r="D199">
        <v>0</v>
      </c>
      <c r="E199">
        <v>5.6552879389999999</v>
      </c>
      <c r="F199">
        <v>12.684239099999999</v>
      </c>
      <c r="G199">
        <v>8.4791293900000007</v>
      </c>
      <c r="H199">
        <v>0</v>
      </c>
      <c r="I199">
        <f t="shared" si="15"/>
        <v>12.808452260999999</v>
      </c>
      <c r="J199">
        <f t="shared" si="12"/>
        <v>18.4637402</v>
      </c>
      <c r="K199">
        <f t="shared" si="13"/>
        <v>0.12421316100000013</v>
      </c>
    </row>
    <row r="200" spans="1:11" x14ac:dyDescent="0.2">
      <c r="A200" s="1">
        <v>41473</v>
      </c>
      <c r="B200" s="2">
        <f t="shared" si="14"/>
        <v>47</v>
      </c>
      <c r="C200">
        <v>12.684239099999999</v>
      </c>
      <c r="D200">
        <v>0</v>
      </c>
      <c r="E200">
        <v>3.1886536529999998</v>
      </c>
      <c r="F200">
        <v>9.4953170890000003</v>
      </c>
      <c r="G200">
        <v>9.4327497600000001</v>
      </c>
      <c r="H200">
        <v>0</v>
      </c>
      <c r="I200">
        <f t="shared" si="15"/>
        <v>9.4955854469999998</v>
      </c>
      <c r="J200">
        <f t="shared" si="12"/>
        <v>12.684239099999999</v>
      </c>
      <c r="K200">
        <f t="shared" si="13"/>
        <v>2.6835799999957999E-4</v>
      </c>
    </row>
    <row r="201" spans="1:11" x14ac:dyDescent="0.2">
      <c r="A201" s="1">
        <v>41474</v>
      </c>
      <c r="B201" s="2">
        <f t="shared" si="14"/>
        <v>48</v>
      </c>
      <c r="C201">
        <v>9.4953170890000003</v>
      </c>
      <c r="D201">
        <v>15.2</v>
      </c>
      <c r="E201">
        <v>2.4611569219999998</v>
      </c>
      <c r="F201">
        <v>22.00741382</v>
      </c>
      <c r="G201">
        <v>8.3510061289999999</v>
      </c>
      <c r="H201">
        <v>0</v>
      </c>
      <c r="I201">
        <f t="shared" si="15"/>
        <v>22.234160166999999</v>
      </c>
      <c r="J201">
        <f t="shared" si="12"/>
        <v>24.695317089</v>
      </c>
      <c r="K201">
        <f t="shared" si="13"/>
        <v>0.22674634699999885</v>
      </c>
    </row>
    <row r="202" spans="1:11" x14ac:dyDescent="0.2">
      <c r="A202" s="1">
        <v>41475</v>
      </c>
      <c r="B202" s="2">
        <f t="shared" si="14"/>
        <v>48</v>
      </c>
      <c r="C202">
        <v>22.00741382</v>
      </c>
      <c r="D202">
        <v>0</v>
      </c>
      <c r="E202">
        <v>4.1326276689999997</v>
      </c>
      <c r="F202">
        <v>17.874603239999999</v>
      </c>
      <c r="G202">
        <v>8.9504515169999994</v>
      </c>
      <c r="H202">
        <v>0</v>
      </c>
      <c r="I202">
        <f t="shared" si="15"/>
        <v>17.874786151000002</v>
      </c>
      <c r="J202">
        <f t="shared" si="12"/>
        <v>22.00741382</v>
      </c>
      <c r="K202">
        <f t="shared" si="13"/>
        <v>1.8291100000311644E-4</v>
      </c>
    </row>
    <row r="203" spans="1:11" x14ac:dyDescent="0.2">
      <c r="A203" s="1">
        <v>41476</v>
      </c>
      <c r="B203" s="2">
        <f t="shared" si="14"/>
        <v>49</v>
      </c>
      <c r="C203">
        <v>17.874603239999999</v>
      </c>
      <c r="D203">
        <v>16.3</v>
      </c>
      <c r="E203">
        <v>4.4277568110000001</v>
      </c>
      <c r="F203">
        <v>29.73661954</v>
      </c>
      <c r="G203">
        <v>8.2944540609999997</v>
      </c>
      <c r="H203">
        <v>0</v>
      </c>
      <c r="I203">
        <f t="shared" si="15"/>
        <v>29.746846428999994</v>
      </c>
      <c r="J203">
        <f t="shared" si="12"/>
        <v>34.174603239999996</v>
      </c>
      <c r="K203">
        <f t="shared" si="13"/>
        <v>1.0226888999994799E-2</v>
      </c>
    </row>
    <row r="204" spans="1:11" x14ac:dyDescent="0.2">
      <c r="A204" s="1">
        <v>41477</v>
      </c>
      <c r="B204" s="2">
        <f t="shared" si="14"/>
        <v>49</v>
      </c>
      <c r="C204">
        <v>29.73661954</v>
      </c>
      <c r="D204">
        <v>0</v>
      </c>
      <c r="E204">
        <v>3.807673307</v>
      </c>
      <c r="F204">
        <v>25.656908300000001</v>
      </c>
      <c r="G204">
        <v>8.5876925219999993</v>
      </c>
      <c r="H204">
        <v>0</v>
      </c>
      <c r="I204">
        <f t="shared" si="15"/>
        <v>25.928946232999998</v>
      </c>
      <c r="J204">
        <f t="shared" si="12"/>
        <v>29.73661954</v>
      </c>
      <c r="K204">
        <f t="shared" si="13"/>
        <v>0.27203793299999646</v>
      </c>
    </row>
    <row r="205" spans="1:11" x14ac:dyDescent="0.2">
      <c r="A205" s="1">
        <v>41478</v>
      </c>
      <c r="B205" s="2">
        <f t="shared" si="14"/>
        <v>49</v>
      </c>
      <c r="C205">
        <v>25.656908300000001</v>
      </c>
      <c r="D205">
        <v>0</v>
      </c>
      <c r="E205">
        <v>1.2003619830000001</v>
      </c>
      <c r="F205">
        <v>24.437161679999999</v>
      </c>
      <c r="G205">
        <v>8.6440882139999999</v>
      </c>
      <c r="H205">
        <v>0</v>
      </c>
      <c r="I205">
        <f t="shared" si="15"/>
        <v>24.456546317000001</v>
      </c>
      <c r="J205">
        <f t="shared" si="12"/>
        <v>25.656908300000001</v>
      </c>
      <c r="K205">
        <f t="shared" si="13"/>
        <v>1.9384637000001703E-2</v>
      </c>
    </row>
    <row r="206" spans="1:11" x14ac:dyDescent="0.2">
      <c r="A206" s="1">
        <v>41479</v>
      </c>
      <c r="B206" s="2">
        <f t="shared" si="14"/>
        <v>49</v>
      </c>
      <c r="C206">
        <v>24.437161679999999</v>
      </c>
      <c r="D206">
        <v>0</v>
      </c>
      <c r="E206">
        <v>3.5505303160000001</v>
      </c>
      <c r="F206">
        <v>20.113908139999999</v>
      </c>
      <c r="G206">
        <v>9.6316645609999991</v>
      </c>
      <c r="H206">
        <v>0</v>
      </c>
      <c r="I206">
        <f t="shared" si="15"/>
        <v>20.886631363999999</v>
      </c>
      <c r="J206">
        <f t="shared" si="12"/>
        <v>24.437161679999999</v>
      </c>
      <c r="K206">
        <f t="shared" si="13"/>
        <v>0.77272322399999993</v>
      </c>
    </row>
    <row r="207" spans="1:11" x14ac:dyDescent="0.2">
      <c r="A207" s="1">
        <v>41480</v>
      </c>
      <c r="B207" s="2">
        <f t="shared" si="14"/>
        <v>49</v>
      </c>
      <c r="C207">
        <v>20.113908139999999</v>
      </c>
      <c r="D207">
        <v>0</v>
      </c>
      <c r="E207">
        <v>3.8628806990000002</v>
      </c>
      <c r="F207">
        <v>16.23394545</v>
      </c>
      <c r="G207">
        <v>7.9307532869999999</v>
      </c>
      <c r="H207">
        <v>0</v>
      </c>
      <c r="I207">
        <f t="shared" si="15"/>
        <v>16.251027440999998</v>
      </c>
      <c r="J207">
        <f t="shared" si="12"/>
        <v>20.113908139999999</v>
      </c>
      <c r="K207">
        <f t="shared" si="13"/>
        <v>1.7081990999997743E-2</v>
      </c>
    </row>
    <row r="208" spans="1:11" x14ac:dyDescent="0.2">
      <c r="A208" s="1">
        <v>41481</v>
      </c>
      <c r="B208" s="2">
        <f t="shared" si="14"/>
        <v>49</v>
      </c>
      <c r="C208">
        <v>16.23394545</v>
      </c>
      <c r="D208">
        <v>0</v>
      </c>
      <c r="E208">
        <v>1.3500979369999999</v>
      </c>
      <c r="F208">
        <v>14.806065419999999</v>
      </c>
      <c r="G208">
        <v>7.9502741500000003</v>
      </c>
      <c r="H208">
        <v>0</v>
      </c>
      <c r="I208">
        <f t="shared" si="15"/>
        <v>14.883847513000001</v>
      </c>
      <c r="J208">
        <f t="shared" si="12"/>
        <v>16.23394545</v>
      </c>
      <c r="K208">
        <f t="shared" si="13"/>
        <v>7.7782093000001495E-2</v>
      </c>
    </row>
    <row r="209" spans="1:11" x14ac:dyDescent="0.2">
      <c r="A209" s="1">
        <v>41482</v>
      </c>
      <c r="B209" s="2">
        <f t="shared" si="14"/>
        <v>49</v>
      </c>
      <c r="C209">
        <v>14.806065419999999</v>
      </c>
      <c r="D209">
        <v>0</v>
      </c>
      <c r="E209">
        <v>3.5392105389999999</v>
      </c>
      <c r="F209">
        <v>11.080446540000001</v>
      </c>
      <c r="G209">
        <v>9.3272219580000009</v>
      </c>
      <c r="H209">
        <v>0</v>
      </c>
      <c r="I209">
        <f t="shared" si="15"/>
        <v>11.266854881</v>
      </c>
      <c r="J209">
        <f t="shared" si="12"/>
        <v>14.806065419999999</v>
      </c>
      <c r="K209">
        <f t="shared" si="13"/>
        <v>0.18640834099999992</v>
      </c>
    </row>
    <row r="210" spans="1:11" x14ac:dyDescent="0.2">
      <c r="A210" s="1">
        <v>41483</v>
      </c>
      <c r="B210" s="2">
        <f t="shared" si="14"/>
        <v>49</v>
      </c>
      <c r="C210">
        <v>11.080446540000001</v>
      </c>
      <c r="D210">
        <v>0</v>
      </c>
      <c r="E210">
        <v>3.5555265720000002</v>
      </c>
      <c r="F210">
        <v>7.478855523</v>
      </c>
      <c r="G210">
        <v>7.0832182269999997</v>
      </c>
      <c r="H210">
        <v>0</v>
      </c>
      <c r="I210">
        <f t="shared" si="15"/>
        <v>7.5249199680000007</v>
      </c>
      <c r="J210">
        <f t="shared" si="12"/>
        <v>11.080446540000001</v>
      </c>
      <c r="K210">
        <f t="shared" si="13"/>
        <v>4.6064445000000731E-2</v>
      </c>
    </row>
    <row r="211" spans="1:11" x14ac:dyDescent="0.2">
      <c r="A211" s="1">
        <v>41484</v>
      </c>
      <c r="B211" s="2">
        <f t="shared" si="14"/>
        <v>49</v>
      </c>
      <c r="C211">
        <v>7.478855523</v>
      </c>
      <c r="D211">
        <v>0</v>
      </c>
      <c r="E211">
        <v>2.7363134260000002</v>
      </c>
      <c r="F211">
        <v>4.5277779479999998</v>
      </c>
      <c r="G211">
        <v>9.6635221419999997</v>
      </c>
      <c r="H211">
        <v>0</v>
      </c>
      <c r="I211">
        <f t="shared" si="15"/>
        <v>4.7425420969999994</v>
      </c>
      <c r="J211">
        <f t="shared" si="12"/>
        <v>7.478855523</v>
      </c>
      <c r="K211">
        <f t="shared" si="13"/>
        <v>0.21476414899999963</v>
      </c>
    </row>
    <row r="212" spans="1:11" x14ac:dyDescent="0.2">
      <c r="A212" s="1">
        <v>41485</v>
      </c>
      <c r="B212" s="2">
        <f t="shared" si="14"/>
        <v>50</v>
      </c>
      <c r="C212">
        <v>4.5277779479999998</v>
      </c>
      <c r="D212">
        <v>16</v>
      </c>
      <c r="E212">
        <v>4.8312731749999998</v>
      </c>
      <c r="F212">
        <v>15.674932249999999</v>
      </c>
      <c r="G212">
        <v>8.7594973720000002</v>
      </c>
      <c r="H212">
        <v>0</v>
      </c>
      <c r="I212">
        <f t="shared" si="15"/>
        <v>15.696504773000001</v>
      </c>
      <c r="J212">
        <f t="shared" si="12"/>
        <v>20.527777948000001</v>
      </c>
      <c r="K212">
        <f t="shared" si="13"/>
        <v>2.1572523000001453E-2</v>
      </c>
    </row>
    <row r="213" spans="1:11" x14ac:dyDescent="0.2">
      <c r="A213" s="1">
        <v>41486</v>
      </c>
      <c r="B213" s="2">
        <f t="shared" si="14"/>
        <v>50</v>
      </c>
      <c r="C213">
        <v>15.674932249999999</v>
      </c>
      <c r="D213">
        <v>0</v>
      </c>
      <c r="E213">
        <v>4.3103880349999999</v>
      </c>
      <c r="F213">
        <v>11.30449525</v>
      </c>
      <c r="G213">
        <v>9.8817680509999999</v>
      </c>
      <c r="H213">
        <v>0</v>
      </c>
      <c r="I213">
        <f t="shared" si="15"/>
        <v>11.364544214999999</v>
      </c>
      <c r="J213">
        <f t="shared" si="12"/>
        <v>15.674932249999999</v>
      </c>
      <c r="K213">
        <f t="shared" si="13"/>
        <v>6.0048964999998233E-2</v>
      </c>
    </row>
    <row r="214" spans="1:11" x14ac:dyDescent="0.2">
      <c r="A214" s="1">
        <v>41487</v>
      </c>
      <c r="B214" s="2">
        <f t="shared" si="14"/>
        <v>50</v>
      </c>
      <c r="C214">
        <v>11.30449525</v>
      </c>
      <c r="D214">
        <v>0</v>
      </c>
      <c r="E214">
        <v>3.8503342599999999</v>
      </c>
      <c r="F214">
        <v>7.378572782</v>
      </c>
      <c r="G214">
        <v>9.6433107719999995</v>
      </c>
      <c r="H214">
        <v>0</v>
      </c>
      <c r="I214">
        <f t="shared" si="15"/>
        <v>7.4541609900000001</v>
      </c>
      <c r="J214">
        <f t="shared" si="12"/>
        <v>11.30449525</v>
      </c>
      <c r="K214">
        <f t="shared" si="13"/>
        <v>7.5588208000000101E-2</v>
      </c>
    </row>
    <row r="215" spans="1:11" x14ac:dyDescent="0.2">
      <c r="A215" s="1">
        <v>41488</v>
      </c>
      <c r="B215" s="2">
        <f t="shared" si="14"/>
        <v>50</v>
      </c>
      <c r="C215">
        <v>7.378572782</v>
      </c>
      <c r="D215">
        <v>0</v>
      </c>
      <c r="E215">
        <v>1.858422021</v>
      </c>
      <c r="F215">
        <v>5.5146405830000003</v>
      </c>
      <c r="G215">
        <v>10.76994661</v>
      </c>
      <c r="H215">
        <v>0</v>
      </c>
      <c r="I215">
        <f t="shared" si="15"/>
        <v>5.520150761</v>
      </c>
      <c r="J215">
        <f t="shared" si="12"/>
        <v>7.378572782</v>
      </c>
      <c r="K215">
        <f t="shared" si="13"/>
        <v>5.5101779999997547E-3</v>
      </c>
    </row>
    <row r="216" spans="1:11" x14ac:dyDescent="0.2">
      <c r="A216" s="1">
        <v>41489</v>
      </c>
      <c r="B216" s="2">
        <f t="shared" si="14"/>
        <v>51</v>
      </c>
      <c r="C216">
        <v>5.5146405830000003</v>
      </c>
      <c r="D216">
        <v>5.7</v>
      </c>
      <c r="E216">
        <v>2.1200911549999999</v>
      </c>
      <c r="F216">
        <v>9.0940218480000006</v>
      </c>
      <c r="G216">
        <v>14.346733589999999</v>
      </c>
      <c r="H216">
        <v>0</v>
      </c>
      <c r="I216">
        <f t="shared" si="15"/>
        <v>9.0945494280000005</v>
      </c>
      <c r="J216">
        <f t="shared" si="12"/>
        <v>11.214640583000001</v>
      </c>
      <c r="K216">
        <f t="shared" si="13"/>
        <v>5.2757999999997196E-4</v>
      </c>
    </row>
    <row r="217" spans="1:11" x14ac:dyDescent="0.2">
      <c r="A217" s="1">
        <v>41490</v>
      </c>
      <c r="B217" s="2">
        <f t="shared" si="14"/>
        <v>52</v>
      </c>
      <c r="C217">
        <v>9.0940218480000006</v>
      </c>
      <c r="D217">
        <v>5.0999999999999996</v>
      </c>
      <c r="E217">
        <v>4.3499899309999996</v>
      </c>
      <c r="F217">
        <v>9.4628625540000009</v>
      </c>
      <c r="G217">
        <v>14.52530922</v>
      </c>
      <c r="H217">
        <v>0</v>
      </c>
      <c r="I217">
        <f t="shared" si="15"/>
        <v>9.8440319170000006</v>
      </c>
      <c r="J217">
        <f t="shared" si="12"/>
        <v>14.194021848</v>
      </c>
      <c r="K217">
        <f t="shared" si="13"/>
        <v>0.38116936299999971</v>
      </c>
    </row>
    <row r="218" spans="1:11" x14ac:dyDescent="0.2">
      <c r="A218" s="1">
        <v>41491</v>
      </c>
      <c r="B218" s="2">
        <f t="shared" si="14"/>
        <v>53</v>
      </c>
      <c r="C218">
        <v>9.4628625540000009</v>
      </c>
      <c r="D218">
        <v>5.9</v>
      </c>
      <c r="E218">
        <v>4.0640673869999997</v>
      </c>
      <c r="F218">
        <v>11.294960319999999</v>
      </c>
      <c r="G218">
        <v>14.28461416</v>
      </c>
      <c r="H218">
        <v>0</v>
      </c>
      <c r="I218">
        <f t="shared" si="15"/>
        <v>11.298795167000002</v>
      </c>
      <c r="J218">
        <f t="shared" si="12"/>
        <v>15.362862554000001</v>
      </c>
      <c r="K218">
        <f t="shared" si="13"/>
        <v>3.8348470000020285E-3</v>
      </c>
    </row>
    <row r="219" spans="1:11" x14ac:dyDescent="0.2">
      <c r="A219" s="1">
        <v>41492</v>
      </c>
      <c r="B219" s="2">
        <f t="shared" si="14"/>
        <v>54</v>
      </c>
      <c r="C219">
        <v>11.294960319999999</v>
      </c>
      <c r="D219">
        <v>4.5999999999999996</v>
      </c>
      <c r="E219">
        <v>3.0843967839999999</v>
      </c>
      <c r="F219">
        <v>12.75510388</v>
      </c>
      <c r="G219">
        <v>13.94824382</v>
      </c>
      <c r="H219">
        <v>0</v>
      </c>
      <c r="I219">
        <f t="shared" si="15"/>
        <v>12.810563536</v>
      </c>
      <c r="J219">
        <f t="shared" si="12"/>
        <v>15.894960319999999</v>
      </c>
      <c r="K219">
        <f t="shared" si="13"/>
        <v>5.5459656000000024E-2</v>
      </c>
    </row>
    <row r="220" spans="1:11" x14ac:dyDescent="0.2">
      <c r="A220" s="1">
        <v>41493</v>
      </c>
      <c r="B220" s="2">
        <f t="shared" si="14"/>
        <v>55</v>
      </c>
      <c r="C220">
        <v>12.75510388</v>
      </c>
      <c r="D220">
        <v>5.0999999999999996</v>
      </c>
      <c r="E220">
        <v>4.1683118700000001</v>
      </c>
      <c r="F220">
        <v>13.686328230000001</v>
      </c>
      <c r="G220">
        <v>14.290271369999999</v>
      </c>
      <c r="H220">
        <v>0</v>
      </c>
      <c r="I220">
        <f t="shared" si="15"/>
        <v>13.686792010000001</v>
      </c>
      <c r="J220">
        <f t="shared" si="12"/>
        <v>17.855103880000001</v>
      </c>
      <c r="K220">
        <f t="shared" si="13"/>
        <v>4.6378000000046882E-4</v>
      </c>
    </row>
    <row r="221" spans="1:11" x14ac:dyDescent="0.2">
      <c r="A221" s="1">
        <v>41494</v>
      </c>
      <c r="B221" s="2">
        <f t="shared" si="14"/>
        <v>55</v>
      </c>
      <c r="C221">
        <v>13.686328230000001</v>
      </c>
      <c r="D221">
        <v>0</v>
      </c>
      <c r="E221">
        <v>3.231293156</v>
      </c>
      <c r="F221">
        <v>10.449511640000001</v>
      </c>
      <c r="G221">
        <v>14.63050065</v>
      </c>
      <c r="H221">
        <v>0</v>
      </c>
      <c r="I221">
        <f t="shared" si="15"/>
        <v>10.455035074000001</v>
      </c>
      <c r="J221">
        <f t="shared" si="12"/>
        <v>13.686328230000001</v>
      </c>
      <c r="K221">
        <f t="shared" si="13"/>
        <v>5.5234340000005488E-3</v>
      </c>
    </row>
    <row r="222" spans="1:11" x14ac:dyDescent="0.2">
      <c r="A222" s="1">
        <v>41495</v>
      </c>
      <c r="B222" s="2">
        <f t="shared" si="14"/>
        <v>56</v>
      </c>
      <c r="C222">
        <v>10.449511640000001</v>
      </c>
      <c r="D222">
        <v>4.3</v>
      </c>
      <c r="E222">
        <v>2.1161428600000001</v>
      </c>
      <c r="F222">
        <v>12.098419850000001</v>
      </c>
      <c r="G222">
        <v>14.25529219</v>
      </c>
      <c r="H222">
        <v>0</v>
      </c>
      <c r="I222">
        <f t="shared" si="15"/>
        <v>12.633368780000001</v>
      </c>
      <c r="J222">
        <f t="shared" si="12"/>
        <v>14.749511640000001</v>
      </c>
      <c r="K222">
        <f t="shared" si="13"/>
        <v>0.53494893000000054</v>
      </c>
    </row>
    <row r="223" spans="1:11" x14ac:dyDescent="0.2">
      <c r="A223" s="1">
        <v>41496</v>
      </c>
      <c r="B223" s="2">
        <f t="shared" si="14"/>
        <v>57</v>
      </c>
      <c r="C223">
        <v>12.098419850000001</v>
      </c>
      <c r="D223">
        <v>4.0999999999999996</v>
      </c>
      <c r="E223">
        <v>3.230046261</v>
      </c>
      <c r="F223">
        <v>12.80654457</v>
      </c>
      <c r="G223">
        <v>14.13577085</v>
      </c>
      <c r="H223">
        <v>0</v>
      </c>
      <c r="I223">
        <f t="shared" si="15"/>
        <v>12.968373589</v>
      </c>
      <c r="J223">
        <f t="shared" si="12"/>
        <v>16.198419850000001</v>
      </c>
      <c r="K223">
        <f t="shared" si="13"/>
        <v>0.16182901900000068</v>
      </c>
    </row>
    <row r="224" spans="1:11" x14ac:dyDescent="0.2">
      <c r="A224" s="1">
        <v>41497</v>
      </c>
      <c r="B224" s="2">
        <f t="shared" si="14"/>
        <v>58</v>
      </c>
      <c r="C224">
        <v>12.80654457</v>
      </c>
      <c r="D224">
        <v>4.3</v>
      </c>
      <c r="E224">
        <v>3.8824208320000002</v>
      </c>
      <c r="F224">
        <v>12.921752529999999</v>
      </c>
      <c r="G224">
        <v>14.462404149999999</v>
      </c>
      <c r="H224">
        <v>0</v>
      </c>
      <c r="I224">
        <f t="shared" si="15"/>
        <v>13.224123737999999</v>
      </c>
      <c r="J224">
        <f t="shared" si="12"/>
        <v>17.106544570000001</v>
      </c>
      <c r="K224">
        <f t="shared" si="13"/>
        <v>0.30237120800000028</v>
      </c>
    </row>
    <row r="225" spans="1:11" x14ac:dyDescent="0.2">
      <c r="A225" s="1">
        <v>41498</v>
      </c>
      <c r="B225" s="2">
        <f t="shared" si="14"/>
        <v>58</v>
      </c>
      <c r="C225">
        <v>12.921752529999999</v>
      </c>
      <c r="D225">
        <v>0</v>
      </c>
      <c r="E225">
        <v>1.711965145</v>
      </c>
      <c r="F225">
        <v>11.20977823</v>
      </c>
      <c r="G225">
        <v>14.248107190000001</v>
      </c>
      <c r="H225">
        <v>0</v>
      </c>
      <c r="I225">
        <f t="shared" si="15"/>
        <v>11.209787384999998</v>
      </c>
      <c r="J225">
        <f t="shared" si="12"/>
        <v>12.921752529999999</v>
      </c>
      <c r="K225">
        <f t="shared" si="13"/>
        <v>9.1549999989837261E-6</v>
      </c>
    </row>
    <row r="226" spans="1:11" x14ac:dyDescent="0.2">
      <c r="A226" s="1">
        <v>41499</v>
      </c>
      <c r="B226" s="2">
        <f t="shared" si="14"/>
        <v>58</v>
      </c>
      <c r="C226">
        <v>11.20977823</v>
      </c>
      <c r="D226">
        <v>0</v>
      </c>
      <c r="E226">
        <v>2.7888196860000001</v>
      </c>
      <c r="F226">
        <v>8.3282779750000007</v>
      </c>
      <c r="G226">
        <v>14.7216688</v>
      </c>
      <c r="H226">
        <v>0</v>
      </c>
      <c r="I226">
        <f t="shared" si="15"/>
        <v>8.4209585439999994</v>
      </c>
      <c r="J226">
        <f t="shared" si="12"/>
        <v>11.20977823</v>
      </c>
      <c r="K226">
        <f t="shared" si="13"/>
        <v>9.2680568999998769E-2</v>
      </c>
    </row>
    <row r="227" spans="1:11" x14ac:dyDescent="0.2">
      <c r="A227" s="1">
        <v>41500</v>
      </c>
      <c r="B227" s="2">
        <f t="shared" si="14"/>
        <v>59</v>
      </c>
      <c r="C227">
        <v>8.3282779750000007</v>
      </c>
      <c r="D227">
        <v>10.3</v>
      </c>
      <c r="E227">
        <v>7.0264457990000002</v>
      </c>
      <c r="F227">
        <v>11.559916449999999</v>
      </c>
      <c r="G227">
        <v>10.05641801</v>
      </c>
      <c r="H227">
        <v>0</v>
      </c>
      <c r="I227">
        <f t="shared" si="15"/>
        <v>11.601832176000002</v>
      </c>
      <c r="J227">
        <f t="shared" si="12"/>
        <v>18.628277975000003</v>
      </c>
      <c r="K227">
        <f t="shared" si="13"/>
        <v>4.1915726000002707E-2</v>
      </c>
    </row>
    <row r="228" spans="1:11" x14ac:dyDescent="0.2">
      <c r="A228" s="1">
        <v>41501</v>
      </c>
      <c r="B228" s="2">
        <f t="shared" si="14"/>
        <v>60</v>
      </c>
      <c r="C228">
        <v>11.559916449999999</v>
      </c>
      <c r="D228">
        <v>5.2</v>
      </c>
      <c r="E228">
        <v>3.9694903429999999</v>
      </c>
      <c r="F228">
        <v>12.70008784</v>
      </c>
      <c r="G228">
        <v>11.44160757</v>
      </c>
      <c r="H228">
        <v>0</v>
      </c>
      <c r="I228">
        <f t="shared" si="15"/>
        <v>12.790426106999998</v>
      </c>
      <c r="J228">
        <f t="shared" si="12"/>
        <v>16.759916449999999</v>
      </c>
      <c r="K228">
        <f t="shared" si="13"/>
        <v>9.033826699999814E-2</v>
      </c>
    </row>
    <row r="229" spans="1:11" x14ac:dyDescent="0.2">
      <c r="A229" s="1">
        <v>41502</v>
      </c>
      <c r="B229" s="2">
        <f t="shared" si="14"/>
        <v>61</v>
      </c>
      <c r="C229">
        <v>12.70008784</v>
      </c>
      <c r="D229">
        <v>5.3</v>
      </c>
      <c r="E229">
        <v>5.6662147709999999</v>
      </c>
      <c r="F229">
        <v>11.7946069</v>
      </c>
      <c r="G229">
        <v>10.347025759999999</v>
      </c>
      <c r="H229">
        <v>0</v>
      </c>
      <c r="I229">
        <f t="shared" si="15"/>
        <v>12.333873068999999</v>
      </c>
      <c r="J229">
        <f t="shared" si="12"/>
        <v>18.000087839999999</v>
      </c>
      <c r="K229">
        <f t="shared" si="13"/>
        <v>0.53926616899999935</v>
      </c>
    </row>
    <row r="230" spans="1:11" x14ac:dyDescent="0.2">
      <c r="A230" s="1">
        <v>41503</v>
      </c>
      <c r="B230" s="2">
        <f t="shared" si="14"/>
        <v>62</v>
      </c>
      <c r="C230">
        <v>11.7946069</v>
      </c>
      <c r="D230">
        <v>4.7</v>
      </c>
      <c r="E230">
        <v>5.4337507110000001</v>
      </c>
      <c r="F230">
        <v>11.0600211</v>
      </c>
      <c r="G230">
        <v>10.12945803</v>
      </c>
      <c r="H230">
        <v>0</v>
      </c>
      <c r="I230">
        <f t="shared" si="15"/>
        <v>11.060856189000001</v>
      </c>
      <c r="J230">
        <f t="shared" si="12"/>
        <v>16.494606900000001</v>
      </c>
      <c r="K230">
        <f t="shared" si="13"/>
        <v>8.350890000006217E-4</v>
      </c>
    </row>
    <row r="231" spans="1:11" x14ac:dyDescent="0.2">
      <c r="A231" s="1">
        <v>41504</v>
      </c>
      <c r="B231" s="2">
        <f t="shared" si="14"/>
        <v>63</v>
      </c>
      <c r="C231">
        <v>11.0600211</v>
      </c>
      <c r="D231">
        <v>5.5</v>
      </c>
      <c r="E231">
        <v>5.8333358769999997</v>
      </c>
      <c r="F231">
        <v>10.64127092</v>
      </c>
      <c r="G231">
        <v>10.47750285</v>
      </c>
      <c r="H231">
        <v>0</v>
      </c>
      <c r="I231">
        <f t="shared" si="15"/>
        <v>10.726685223</v>
      </c>
      <c r="J231">
        <f t="shared" si="12"/>
        <v>16.5600211</v>
      </c>
      <c r="K231">
        <f t="shared" si="13"/>
        <v>8.5414303000000302E-2</v>
      </c>
    </row>
    <row r="232" spans="1:11" x14ac:dyDescent="0.2">
      <c r="A232" s="1">
        <v>41505</v>
      </c>
      <c r="B232" s="2">
        <f t="shared" si="14"/>
        <v>64</v>
      </c>
      <c r="C232">
        <v>10.64127092</v>
      </c>
      <c r="D232">
        <v>5.0999999999999996</v>
      </c>
      <c r="E232">
        <v>4.4379234209999998</v>
      </c>
      <c r="F232">
        <v>11.02504444</v>
      </c>
      <c r="G232">
        <v>11.66083654</v>
      </c>
      <c r="H232">
        <v>0</v>
      </c>
      <c r="I232">
        <f t="shared" si="15"/>
        <v>11.303347499000001</v>
      </c>
      <c r="J232">
        <f t="shared" si="12"/>
        <v>15.74127092</v>
      </c>
      <c r="K232">
        <f t="shared" si="13"/>
        <v>0.27830305900000063</v>
      </c>
    </row>
    <row r="233" spans="1:11" x14ac:dyDescent="0.2">
      <c r="A233" s="1">
        <v>41506</v>
      </c>
      <c r="B233" s="2">
        <f t="shared" si="14"/>
        <v>65</v>
      </c>
      <c r="C233">
        <v>11.02504444</v>
      </c>
      <c r="D233">
        <v>5.4</v>
      </c>
      <c r="E233">
        <v>3.524696026</v>
      </c>
      <c r="F233">
        <v>11.740356179999999</v>
      </c>
      <c r="G233">
        <v>10.82201283</v>
      </c>
      <c r="H233">
        <v>0</v>
      </c>
      <c r="I233">
        <f t="shared" si="15"/>
        <v>12.900348414</v>
      </c>
      <c r="J233">
        <f t="shared" si="12"/>
        <v>16.425044440000001</v>
      </c>
      <c r="K233">
        <f t="shared" si="13"/>
        <v>1.1599922340000006</v>
      </c>
    </row>
    <row r="234" spans="1:11" x14ac:dyDescent="0.2">
      <c r="A234" s="1">
        <v>41507</v>
      </c>
      <c r="B234" s="2">
        <f t="shared" si="14"/>
        <v>66</v>
      </c>
      <c r="C234">
        <v>11.740356179999999</v>
      </c>
      <c r="D234">
        <v>5.4</v>
      </c>
      <c r="E234">
        <v>4.9463456409999997</v>
      </c>
      <c r="F234">
        <v>12.11225196</v>
      </c>
      <c r="G234">
        <v>10.22498944</v>
      </c>
      <c r="H234">
        <v>0</v>
      </c>
      <c r="I234">
        <f t="shared" si="15"/>
        <v>12.194010538999997</v>
      </c>
      <c r="J234">
        <f t="shared" si="12"/>
        <v>17.140356179999998</v>
      </c>
      <c r="K234">
        <f t="shared" si="13"/>
        <v>8.1758578999997056E-2</v>
      </c>
    </row>
    <row r="235" spans="1:11" x14ac:dyDescent="0.2">
      <c r="A235" s="1">
        <v>41508</v>
      </c>
      <c r="B235" s="2">
        <f t="shared" si="14"/>
        <v>67</v>
      </c>
      <c r="C235">
        <v>12.11225196</v>
      </c>
      <c r="D235">
        <v>4.7</v>
      </c>
      <c r="E235">
        <v>3.8384898710000002</v>
      </c>
      <c r="F235">
        <v>12.942391239999999</v>
      </c>
      <c r="G235">
        <v>9.9637263380000007</v>
      </c>
      <c r="H235">
        <v>0</v>
      </c>
      <c r="I235">
        <f t="shared" si="15"/>
        <v>12.973762089000001</v>
      </c>
      <c r="J235">
        <f t="shared" si="12"/>
        <v>16.812251960000001</v>
      </c>
      <c r="K235">
        <f t="shared" si="13"/>
        <v>3.1370849000001755E-2</v>
      </c>
    </row>
    <row r="236" spans="1:11" x14ac:dyDescent="0.2">
      <c r="A236" s="1">
        <v>41509</v>
      </c>
      <c r="B236" s="2">
        <f t="shared" si="14"/>
        <v>68</v>
      </c>
      <c r="C236">
        <v>12.942391239999999</v>
      </c>
      <c r="D236">
        <v>5.9</v>
      </c>
      <c r="E236">
        <v>4.7815718619999998</v>
      </c>
      <c r="F236">
        <v>13.790427230000001</v>
      </c>
      <c r="G236">
        <v>10.57585907</v>
      </c>
      <c r="H236">
        <v>0</v>
      </c>
      <c r="I236">
        <f t="shared" si="15"/>
        <v>14.060819377999998</v>
      </c>
      <c r="J236">
        <f t="shared" si="12"/>
        <v>18.842391239999998</v>
      </c>
      <c r="K236">
        <f t="shared" si="13"/>
        <v>0.27039214799999733</v>
      </c>
    </row>
    <row r="237" spans="1:11" x14ac:dyDescent="0.2">
      <c r="A237" s="1">
        <v>41510</v>
      </c>
      <c r="B237" s="2">
        <f t="shared" si="14"/>
        <v>69</v>
      </c>
      <c r="C237">
        <v>13.790427230000001</v>
      </c>
      <c r="D237">
        <v>5.2</v>
      </c>
      <c r="E237">
        <v>5.0664228529999997</v>
      </c>
      <c r="F237">
        <v>12.635224040000001</v>
      </c>
      <c r="G237">
        <v>10.60684698</v>
      </c>
      <c r="H237">
        <v>0</v>
      </c>
      <c r="I237">
        <f t="shared" si="15"/>
        <v>13.924004377000003</v>
      </c>
      <c r="J237">
        <f t="shared" si="12"/>
        <v>18.990427230000002</v>
      </c>
      <c r="K237">
        <f t="shared" si="13"/>
        <v>1.2887803370000022</v>
      </c>
    </row>
    <row r="238" spans="1:11" x14ac:dyDescent="0.2">
      <c r="A238" s="1">
        <v>41511</v>
      </c>
      <c r="B238" s="2">
        <f t="shared" si="14"/>
        <v>70</v>
      </c>
      <c r="C238">
        <v>12.635224040000001</v>
      </c>
      <c r="D238">
        <v>4.5999999999999996</v>
      </c>
      <c r="E238">
        <v>4.2870828760000004</v>
      </c>
      <c r="F238">
        <v>12.93495699</v>
      </c>
      <c r="G238">
        <v>10.48396917</v>
      </c>
      <c r="H238">
        <v>0</v>
      </c>
      <c r="I238">
        <f t="shared" si="15"/>
        <v>12.948141163999999</v>
      </c>
      <c r="J238">
        <f t="shared" si="12"/>
        <v>17.235224039999999</v>
      </c>
      <c r="K238">
        <f t="shared" si="13"/>
        <v>1.318417399999916E-2</v>
      </c>
    </row>
    <row r="239" spans="1:11" x14ac:dyDescent="0.2">
      <c r="A239" s="1">
        <v>41512</v>
      </c>
      <c r="B239" s="2">
        <f t="shared" si="14"/>
        <v>71</v>
      </c>
      <c r="C239">
        <v>12.93495699</v>
      </c>
      <c r="D239">
        <v>5</v>
      </c>
      <c r="E239">
        <v>4.5256851820000001</v>
      </c>
      <c r="F239">
        <v>13.405303050000001</v>
      </c>
      <c r="G239">
        <v>10.628956479999999</v>
      </c>
      <c r="H239">
        <v>0</v>
      </c>
      <c r="I239">
        <f t="shared" si="15"/>
        <v>13.409271808</v>
      </c>
      <c r="J239">
        <f t="shared" si="12"/>
        <v>17.93495699</v>
      </c>
      <c r="K239">
        <f t="shared" si="13"/>
        <v>3.968757999999184E-3</v>
      </c>
    </row>
    <row r="240" spans="1:11" x14ac:dyDescent="0.2">
      <c r="A240" s="1">
        <v>41513</v>
      </c>
      <c r="B240" s="2">
        <f t="shared" si="14"/>
        <v>71</v>
      </c>
      <c r="C240">
        <v>13.405303050000001</v>
      </c>
      <c r="D240">
        <v>0</v>
      </c>
      <c r="E240">
        <v>2.9062268759999998</v>
      </c>
      <c r="F240">
        <v>10.49144426</v>
      </c>
      <c r="G240">
        <v>10.969576999999999</v>
      </c>
      <c r="H240">
        <v>0</v>
      </c>
      <c r="I240">
        <f t="shared" si="15"/>
        <v>10.499076174000001</v>
      </c>
      <c r="J240">
        <f t="shared" si="12"/>
        <v>13.405303050000001</v>
      </c>
      <c r="K240">
        <f t="shared" si="13"/>
        <v>7.6319140000009611E-3</v>
      </c>
    </row>
    <row r="241" spans="1:11" x14ac:dyDescent="0.2">
      <c r="A241" s="1">
        <v>41514</v>
      </c>
      <c r="B241" s="2">
        <f t="shared" si="14"/>
        <v>71</v>
      </c>
      <c r="C241">
        <v>10.49144426</v>
      </c>
      <c r="D241">
        <v>0</v>
      </c>
      <c r="E241">
        <v>2.825614785</v>
      </c>
      <c r="F241">
        <v>7.419200676</v>
      </c>
      <c r="G241">
        <v>14.14499818</v>
      </c>
      <c r="H241">
        <v>0</v>
      </c>
      <c r="I241">
        <f t="shared" si="15"/>
        <v>7.6658294749999998</v>
      </c>
      <c r="J241">
        <f t="shared" si="12"/>
        <v>10.49144426</v>
      </c>
      <c r="K241">
        <f t="shared" si="13"/>
        <v>0.24662879899999979</v>
      </c>
    </row>
    <row r="242" spans="1:11" x14ac:dyDescent="0.2">
      <c r="A242" s="1">
        <v>41515</v>
      </c>
      <c r="B242" s="2">
        <f t="shared" si="14"/>
        <v>72</v>
      </c>
      <c r="C242">
        <v>7.419200676</v>
      </c>
      <c r="D242">
        <v>4.3</v>
      </c>
      <c r="E242">
        <v>3.0405650980000001</v>
      </c>
      <c r="F242">
        <v>8.6753524009999996</v>
      </c>
      <c r="G242">
        <v>14.41607756</v>
      </c>
      <c r="H242">
        <v>0</v>
      </c>
      <c r="I242">
        <f t="shared" si="15"/>
        <v>8.6786355779999997</v>
      </c>
      <c r="J242">
        <f t="shared" si="12"/>
        <v>11.719200676</v>
      </c>
      <c r="K242">
        <f t="shared" si="13"/>
        <v>3.283177000000137E-3</v>
      </c>
    </row>
    <row r="243" spans="1:11" x14ac:dyDescent="0.2">
      <c r="A243" s="1">
        <v>41516</v>
      </c>
      <c r="B243" s="2">
        <f t="shared" si="14"/>
        <v>72</v>
      </c>
      <c r="C243">
        <v>8.6753524009999996</v>
      </c>
      <c r="D243">
        <v>0</v>
      </c>
      <c r="E243">
        <v>2.0203931339999999</v>
      </c>
      <c r="F243">
        <v>6.654275545</v>
      </c>
      <c r="G243">
        <v>13.914702950000001</v>
      </c>
      <c r="H243">
        <v>0</v>
      </c>
      <c r="I243">
        <f t="shared" si="15"/>
        <v>6.6549592669999997</v>
      </c>
      <c r="J243">
        <f t="shared" si="12"/>
        <v>8.6753524009999996</v>
      </c>
      <c r="K243">
        <f t="shared" si="13"/>
        <v>6.8372199999977568E-4</v>
      </c>
    </row>
    <row r="244" spans="1:11" x14ac:dyDescent="0.2">
      <c r="A244" s="1">
        <v>41517</v>
      </c>
      <c r="B244" s="2">
        <f t="shared" si="14"/>
        <v>73</v>
      </c>
      <c r="C244">
        <v>6.654275545</v>
      </c>
      <c r="D244">
        <v>6.8</v>
      </c>
      <c r="E244">
        <v>3.3473681499999999</v>
      </c>
      <c r="F244">
        <v>10.04360425</v>
      </c>
      <c r="G244">
        <v>14.13322539</v>
      </c>
      <c r="H244">
        <v>0</v>
      </c>
      <c r="I244">
        <f t="shared" si="15"/>
        <v>10.106907395</v>
      </c>
      <c r="J244">
        <f t="shared" si="12"/>
        <v>13.454275545</v>
      </c>
      <c r="K244">
        <f t="shared" si="13"/>
        <v>6.3303145000000782E-2</v>
      </c>
    </row>
    <row r="245" spans="1:11" x14ac:dyDescent="0.2">
      <c r="A245" s="1">
        <v>41518</v>
      </c>
      <c r="B245" s="2">
        <f t="shared" si="14"/>
        <v>73</v>
      </c>
      <c r="C245">
        <v>10.04360425</v>
      </c>
      <c r="D245">
        <v>0</v>
      </c>
      <c r="E245">
        <v>3.518757586</v>
      </c>
      <c r="F245">
        <v>6.4046523579999999</v>
      </c>
      <c r="G245">
        <v>14.15606421</v>
      </c>
      <c r="H245">
        <v>0</v>
      </c>
      <c r="I245">
        <f t="shared" si="15"/>
        <v>6.524846664</v>
      </c>
      <c r="J245">
        <f t="shared" si="12"/>
        <v>10.04360425</v>
      </c>
      <c r="K245">
        <f t="shared" si="13"/>
        <v>0.12019430600000014</v>
      </c>
    </row>
    <row r="246" spans="1:11" x14ac:dyDescent="0.2">
      <c r="A246" s="1">
        <v>41519</v>
      </c>
      <c r="B246" s="2">
        <f t="shared" si="14"/>
        <v>73</v>
      </c>
      <c r="C246">
        <v>6.4046523579999999</v>
      </c>
      <c r="D246">
        <v>0</v>
      </c>
      <c r="E246">
        <v>3.093357159</v>
      </c>
      <c r="F246">
        <v>3.311103449</v>
      </c>
      <c r="G246">
        <v>14.245561589999999</v>
      </c>
      <c r="H246">
        <v>0</v>
      </c>
      <c r="I246">
        <f t="shared" si="15"/>
        <v>3.3112951989999999</v>
      </c>
      <c r="J246">
        <f t="shared" si="12"/>
        <v>6.4046523579999999</v>
      </c>
      <c r="K246">
        <f t="shared" si="13"/>
        <v>1.9174999999993503E-4</v>
      </c>
    </row>
    <row r="247" spans="1:11" x14ac:dyDescent="0.2">
      <c r="A247" s="1">
        <v>41520</v>
      </c>
      <c r="B247" s="2">
        <f t="shared" si="14"/>
        <v>74</v>
      </c>
      <c r="C247">
        <v>3.311103449</v>
      </c>
      <c r="D247">
        <v>9.3000000000000007</v>
      </c>
      <c r="E247">
        <v>5.4953428579999999</v>
      </c>
      <c r="F247">
        <v>7.1064307910000002</v>
      </c>
      <c r="G247">
        <v>12.80655513</v>
      </c>
      <c r="H247">
        <v>0</v>
      </c>
      <c r="I247">
        <f t="shared" si="15"/>
        <v>7.1157605910000017</v>
      </c>
      <c r="J247">
        <f t="shared" si="12"/>
        <v>12.611103449000002</v>
      </c>
      <c r="K247">
        <f t="shared" si="13"/>
        <v>9.329800000001498E-3</v>
      </c>
    </row>
    <row r="248" spans="1:11" x14ac:dyDescent="0.2">
      <c r="A248" s="1">
        <v>41521</v>
      </c>
      <c r="B248" s="2">
        <f t="shared" si="14"/>
        <v>74</v>
      </c>
      <c r="C248">
        <v>7.1064307910000002</v>
      </c>
      <c r="D248">
        <v>0</v>
      </c>
      <c r="E248">
        <v>2.0204349019999999</v>
      </c>
      <c r="F248">
        <v>5.0726411909999998</v>
      </c>
      <c r="G248">
        <v>14.14909261</v>
      </c>
      <c r="H248">
        <v>0</v>
      </c>
      <c r="I248">
        <f t="shared" si="15"/>
        <v>5.0859958890000003</v>
      </c>
      <c r="J248">
        <f t="shared" si="12"/>
        <v>7.1064307910000002</v>
      </c>
      <c r="K248">
        <f t="shared" si="13"/>
        <v>1.3354698000000553E-2</v>
      </c>
    </row>
    <row r="249" spans="1:11" x14ac:dyDescent="0.2">
      <c r="A249" s="1">
        <v>41522</v>
      </c>
      <c r="B249" s="2">
        <f t="shared" si="14"/>
        <v>75</v>
      </c>
      <c r="C249">
        <v>5.0726411909999998</v>
      </c>
      <c r="D249">
        <v>5.9</v>
      </c>
      <c r="E249">
        <v>0.48327578199999999</v>
      </c>
      <c r="F249">
        <v>10.48786954</v>
      </c>
      <c r="G249">
        <v>13.96905542</v>
      </c>
      <c r="H249">
        <v>0</v>
      </c>
      <c r="I249">
        <f t="shared" si="15"/>
        <v>10.489365409000001</v>
      </c>
      <c r="J249">
        <f t="shared" si="12"/>
        <v>10.972641191000001</v>
      </c>
      <c r="K249">
        <f t="shared" si="13"/>
        <v>1.4958690000010932E-3</v>
      </c>
    </row>
    <row r="250" spans="1:11" x14ac:dyDescent="0.2">
      <c r="A250" s="1">
        <v>41523</v>
      </c>
      <c r="B250" s="2">
        <f t="shared" si="14"/>
        <v>75</v>
      </c>
      <c r="C250">
        <v>10.48786954</v>
      </c>
      <c r="D250">
        <v>0</v>
      </c>
      <c r="E250">
        <v>1.6612175929999999</v>
      </c>
      <c r="F250">
        <v>8.8255197299999999</v>
      </c>
      <c r="G250">
        <v>13.938049919999999</v>
      </c>
      <c r="H250">
        <v>0</v>
      </c>
      <c r="I250">
        <f t="shared" si="15"/>
        <v>8.8266519470000002</v>
      </c>
      <c r="J250">
        <f t="shared" si="12"/>
        <v>10.48786954</v>
      </c>
      <c r="K250">
        <f t="shared" si="13"/>
        <v>1.132217000000324E-3</v>
      </c>
    </row>
    <row r="251" spans="1:11" x14ac:dyDescent="0.2">
      <c r="A251" s="1">
        <v>41524</v>
      </c>
      <c r="B251" s="2">
        <f t="shared" si="14"/>
        <v>76</v>
      </c>
      <c r="C251">
        <v>8.8255197299999999</v>
      </c>
      <c r="D251">
        <v>4.7</v>
      </c>
      <c r="E251">
        <v>2.0624568980000002</v>
      </c>
      <c r="F251">
        <v>11.061812209999999</v>
      </c>
      <c r="G251">
        <v>12.62740597</v>
      </c>
      <c r="H251">
        <v>0</v>
      </c>
      <c r="I251">
        <f t="shared" si="15"/>
        <v>11.463062831999999</v>
      </c>
      <c r="J251">
        <f t="shared" si="12"/>
        <v>13.525519729999999</v>
      </c>
      <c r="K251">
        <f t="shared" si="13"/>
        <v>0.40125062199999917</v>
      </c>
    </row>
    <row r="252" spans="1:11" x14ac:dyDescent="0.2">
      <c r="A252" s="1">
        <v>41525</v>
      </c>
      <c r="B252" s="2">
        <f t="shared" si="14"/>
        <v>76</v>
      </c>
      <c r="C252">
        <v>11.061812209999999</v>
      </c>
      <c r="D252">
        <v>0</v>
      </c>
      <c r="E252">
        <v>1.316338298</v>
      </c>
      <c r="F252">
        <v>9.4136386139999999</v>
      </c>
      <c r="G252">
        <v>15.06543602</v>
      </c>
      <c r="H252">
        <v>0</v>
      </c>
      <c r="I252">
        <f t="shared" si="15"/>
        <v>9.7454739119999996</v>
      </c>
      <c r="J252">
        <f t="shared" si="12"/>
        <v>11.061812209999999</v>
      </c>
      <c r="K252">
        <f t="shared" si="13"/>
        <v>0.33183529799999967</v>
      </c>
    </row>
    <row r="253" spans="1:11" x14ac:dyDescent="0.2">
      <c r="A253" s="1">
        <v>41526</v>
      </c>
      <c r="B253" s="2">
        <f t="shared" si="14"/>
        <v>77</v>
      </c>
      <c r="C253">
        <v>9.4136386139999999</v>
      </c>
      <c r="D253">
        <v>4.9000000000000004</v>
      </c>
      <c r="E253">
        <v>2.9448725389999999</v>
      </c>
      <c r="F253">
        <v>11.183728070000001</v>
      </c>
      <c r="G253">
        <v>12.883767819999999</v>
      </c>
      <c r="H253">
        <v>0</v>
      </c>
      <c r="I253">
        <f t="shared" si="15"/>
        <v>11.368766075</v>
      </c>
      <c r="J253">
        <f t="shared" si="12"/>
        <v>14.313638614</v>
      </c>
      <c r="K253">
        <f t="shared" si="13"/>
        <v>0.18503800499999912</v>
      </c>
    </row>
    <row r="254" spans="1:11" x14ac:dyDescent="0.2">
      <c r="A254" s="1">
        <v>41527</v>
      </c>
      <c r="B254" s="2">
        <f t="shared" si="14"/>
        <v>77</v>
      </c>
      <c r="C254">
        <v>11.183728070000001</v>
      </c>
      <c r="D254">
        <v>0</v>
      </c>
      <c r="E254">
        <v>3.6144770679999998</v>
      </c>
      <c r="F254">
        <v>7.2032309359999998</v>
      </c>
      <c r="G254">
        <v>12.327501270000001</v>
      </c>
      <c r="H254">
        <v>0</v>
      </c>
      <c r="I254">
        <f t="shared" si="15"/>
        <v>7.5692510020000014</v>
      </c>
      <c r="J254">
        <f t="shared" si="12"/>
        <v>11.183728070000001</v>
      </c>
      <c r="K254">
        <f t="shared" si="13"/>
        <v>0.3660200660000017</v>
      </c>
    </row>
    <row r="255" spans="1:11" x14ac:dyDescent="0.2">
      <c r="A255" s="1">
        <v>41528</v>
      </c>
      <c r="B255" s="2">
        <f t="shared" si="14"/>
        <v>77</v>
      </c>
      <c r="C255">
        <v>7.2032309359999998</v>
      </c>
      <c r="D255">
        <v>0</v>
      </c>
      <c r="E255">
        <v>1.451164178</v>
      </c>
      <c r="F255">
        <v>5.7366324000000004</v>
      </c>
      <c r="G255">
        <v>13.02270482</v>
      </c>
      <c r="H255">
        <v>0</v>
      </c>
      <c r="I255">
        <f t="shared" si="15"/>
        <v>5.7520667579999998</v>
      </c>
      <c r="J255">
        <f t="shared" si="12"/>
        <v>7.2032309359999998</v>
      </c>
      <c r="K255">
        <f t="shared" si="13"/>
        <v>1.5434357999999371E-2</v>
      </c>
    </row>
    <row r="256" spans="1:11" x14ac:dyDescent="0.2">
      <c r="A256" s="1">
        <v>41529</v>
      </c>
      <c r="B256" s="2">
        <f t="shared" si="14"/>
        <v>78</v>
      </c>
      <c r="C256">
        <v>5.7366324000000004</v>
      </c>
      <c r="D256">
        <v>4.9000000000000004</v>
      </c>
      <c r="E256">
        <v>2.7417570050000002</v>
      </c>
      <c r="F256">
        <v>7.7567912349999997</v>
      </c>
      <c r="G256">
        <v>12.59405482</v>
      </c>
      <c r="H256">
        <v>0</v>
      </c>
      <c r="I256">
        <f t="shared" si="15"/>
        <v>7.8948753949999997</v>
      </c>
      <c r="J256">
        <f t="shared" si="12"/>
        <v>10.6366324</v>
      </c>
      <c r="K256">
        <f t="shared" si="13"/>
        <v>0.13808416000000001</v>
      </c>
    </row>
    <row r="257" spans="1:11" x14ac:dyDescent="0.2">
      <c r="A257" s="1">
        <v>41530</v>
      </c>
      <c r="B257" s="2">
        <f t="shared" si="14"/>
        <v>78</v>
      </c>
      <c r="C257">
        <v>7.7567912349999997</v>
      </c>
      <c r="D257">
        <v>0</v>
      </c>
      <c r="E257">
        <v>2.1889343000000001</v>
      </c>
      <c r="F257">
        <v>5.5557345439999999</v>
      </c>
      <c r="G257">
        <v>11.904880909999999</v>
      </c>
      <c r="H257">
        <v>0</v>
      </c>
      <c r="I257">
        <f t="shared" si="15"/>
        <v>5.567856935</v>
      </c>
      <c r="J257">
        <f t="shared" si="12"/>
        <v>7.7567912349999997</v>
      </c>
      <c r="K257">
        <f t="shared" si="13"/>
        <v>1.2122391000000121E-2</v>
      </c>
    </row>
    <row r="258" spans="1:11" x14ac:dyDescent="0.2">
      <c r="A258" s="1">
        <v>41531</v>
      </c>
      <c r="B258" s="2">
        <f t="shared" si="14"/>
        <v>79</v>
      </c>
      <c r="C258">
        <v>5.5557345439999999</v>
      </c>
      <c r="D258">
        <v>5.7</v>
      </c>
      <c r="E258">
        <v>2.8294214129999999</v>
      </c>
      <c r="F258">
        <v>7.991935657</v>
      </c>
      <c r="G258">
        <v>13.25933246</v>
      </c>
      <c r="H258">
        <v>0</v>
      </c>
      <c r="I258">
        <f t="shared" si="15"/>
        <v>8.4263131309999988</v>
      </c>
      <c r="J258">
        <f t="shared" si="12"/>
        <v>11.255734543999999</v>
      </c>
      <c r="K258">
        <f t="shared" si="13"/>
        <v>0.43437747399999882</v>
      </c>
    </row>
    <row r="259" spans="1:11" x14ac:dyDescent="0.2">
      <c r="A259" s="1">
        <v>41532</v>
      </c>
      <c r="B259" s="2">
        <f t="shared" si="14"/>
        <v>80</v>
      </c>
      <c r="C259">
        <v>7.991935657</v>
      </c>
      <c r="D259">
        <v>4.7</v>
      </c>
      <c r="E259">
        <v>2.4582314109999999</v>
      </c>
      <c r="F259">
        <v>10.180452000000001</v>
      </c>
      <c r="G259">
        <v>13.202202099999999</v>
      </c>
      <c r="H259">
        <v>0</v>
      </c>
      <c r="I259">
        <f t="shared" si="15"/>
        <v>10.233704246</v>
      </c>
      <c r="J259">
        <f t="shared" ref="J259:J322" si="16">C259+D259</f>
        <v>12.691935657</v>
      </c>
      <c r="K259">
        <f t="shared" ref="K259:K322" si="17">I259-F259</f>
        <v>5.3252245999999559E-2</v>
      </c>
    </row>
    <row r="260" spans="1:11" x14ac:dyDescent="0.2">
      <c r="A260" s="1">
        <v>41533</v>
      </c>
      <c r="B260" s="2">
        <f t="shared" ref="B260:B323" si="18">IF(D260&gt;0,B259+1,B259)</f>
        <v>81</v>
      </c>
      <c r="C260">
        <v>10.180452000000001</v>
      </c>
      <c r="D260">
        <v>4.9000000000000004</v>
      </c>
      <c r="E260">
        <v>3.5275180869999998</v>
      </c>
      <c r="F260">
        <v>11.288793849999999</v>
      </c>
      <c r="G260">
        <v>13.74640763</v>
      </c>
      <c r="H260">
        <v>0</v>
      </c>
      <c r="I260">
        <f t="shared" ref="I260:I323" si="19">C260+D260-E260</f>
        <v>11.552933913</v>
      </c>
      <c r="J260">
        <f t="shared" si="16"/>
        <v>15.080452000000001</v>
      </c>
      <c r="K260">
        <f t="shared" si="17"/>
        <v>0.26414006300000104</v>
      </c>
    </row>
    <row r="261" spans="1:11" x14ac:dyDescent="0.2">
      <c r="A261" s="1">
        <v>41534</v>
      </c>
      <c r="B261" s="2">
        <f t="shared" si="18"/>
        <v>81</v>
      </c>
      <c r="C261">
        <v>11.288793849999999</v>
      </c>
      <c r="D261">
        <v>0</v>
      </c>
      <c r="E261">
        <v>2.0494122190000001</v>
      </c>
      <c r="F261">
        <v>9.1955550800000001</v>
      </c>
      <c r="G261">
        <v>14.12981218</v>
      </c>
      <c r="H261">
        <v>0</v>
      </c>
      <c r="I261">
        <f t="shared" si="19"/>
        <v>9.2393816309999988</v>
      </c>
      <c r="J261">
        <f t="shared" si="16"/>
        <v>11.288793849999999</v>
      </c>
      <c r="K261">
        <f t="shared" si="17"/>
        <v>4.3826550999998659E-2</v>
      </c>
    </row>
    <row r="262" spans="1:11" x14ac:dyDescent="0.2">
      <c r="A262" s="1">
        <v>41535</v>
      </c>
      <c r="B262" s="2">
        <f t="shared" si="18"/>
        <v>82</v>
      </c>
      <c r="C262">
        <v>9.1955550800000001</v>
      </c>
      <c r="D262">
        <v>5</v>
      </c>
      <c r="E262">
        <v>3.9727018639999998</v>
      </c>
      <c r="F262">
        <v>10.0116341</v>
      </c>
      <c r="G262">
        <v>13.485268960000001</v>
      </c>
      <c r="H262">
        <v>0</v>
      </c>
      <c r="I262">
        <f t="shared" si="19"/>
        <v>10.222853216000001</v>
      </c>
      <c r="J262">
        <f t="shared" si="16"/>
        <v>14.19555508</v>
      </c>
      <c r="K262">
        <f t="shared" si="17"/>
        <v>0.21121911600000054</v>
      </c>
    </row>
    <row r="263" spans="1:11" x14ac:dyDescent="0.2">
      <c r="A263" s="1">
        <v>41536</v>
      </c>
      <c r="B263" s="2">
        <f t="shared" si="18"/>
        <v>82</v>
      </c>
      <c r="C263">
        <v>10.0116341</v>
      </c>
      <c r="D263">
        <v>0</v>
      </c>
      <c r="E263">
        <v>3.1215481490000001</v>
      </c>
      <c r="F263">
        <v>6.6953453940000003</v>
      </c>
      <c r="G263">
        <v>14.08173839</v>
      </c>
      <c r="H263">
        <v>0</v>
      </c>
      <c r="I263">
        <f t="shared" si="19"/>
        <v>6.8900859509999997</v>
      </c>
      <c r="J263">
        <f t="shared" si="16"/>
        <v>10.0116341</v>
      </c>
      <c r="K263">
        <f t="shared" si="17"/>
        <v>0.19474055699999937</v>
      </c>
    </row>
    <row r="264" spans="1:11" x14ac:dyDescent="0.2">
      <c r="A264" s="1">
        <v>41537</v>
      </c>
      <c r="B264" s="2">
        <f t="shared" si="18"/>
        <v>83</v>
      </c>
      <c r="C264">
        <v>6.6953453940000003</v>
      </c>
      <c r="D264">
        <v>4.4000000000000004</v>
      </c>
      <c r="E264">
        <v>1.1515860600000001</v>
      </c>
      <c r="F264">
        <v>9.8086202290000006</v>
      </c>
      <c r="G264">
        <v>13.679457510000001</v>
      </c>
      <c r="H264">
        <v>0</v>
      </c>
      <c r="I264">
        <f t="shared" si="19"/>
        <v>9.943759334000001</v>
      </c>
      <c r="J264">
        <f t="shared" si="16"/>
        <v>11.095345394000001</v>
      </c>
      <c r="K264">
        <f t="shared" si="17"/>
        <v>0.13513910500000037</v>
      </c>
    </row>
    <row r="265" spans="1:11" x14ac:dyDescent="0.2">
      <c r="A265" s="1">
        <v>41538</v>
      </c>
      <c r="B265" s="2">
        <f t="shared" si="18"/>
        <v>84</v>
      </c>
      <c r="C265">
        <v>9.8086202290000006</v>
      </c>
      <c r="D265">
        <v>5.7</v>
      </c>
      <c r="E265">
        <v>1.16704228</v>
      </c>
      <c r="F265">
        <v>14.19134519</v>
      </c>
      <c r="G265">
        <v>13.611835320000001</v>
      </c>
      <c r="H265">
        <v>0</v>
      </c>
      <c r="I265">
        <f t="shared" si="19"/>
        <v>14.341577949000001</v>
      </c>
      <c r="J265">
        <f t="shared" si="16"/>
        <v>15.508620229000002</v>
      </c>
      <c r="K265">
        <f t="shared" si="17"/>
        <v>0.15023275900000144</v>
      </c>
    </row>
    <row r="266" spans="1:11" x14ac:dyDescent="0.2">
      <c r="A266" s="1">
        <v>41539</v>
      </c>
      <c r="B266" s="2">
        <f t="shared" si="18"/>
        <v>84</v>
      </c>
      <c r="C266">
        <v>14.19134519</v>
      </c>
      <c r="D266">
        <v>0</v>
      </c>
      <c r="E266">
        <v>2.2041708440000001</v>
      </c>
      <c r="F266">
        <v>11.815504539999999</v>
      </c>
      <c r="G266">
        <v>13.74273814</v>
      </c>
      <c r="H266">
        <v>0</v>
      </c>
      <c r="I266">
        <f t="shared" si="19"/>
        <v>11.987174346</v>
      </c>
      <c r="J266">
        <f t="shared" si="16"/>
        <v>14.19134519</v>
      </c>
      <c r="K266">
        <f t="shared" si="17"/>
        <v>0.17166980600000059</v>
      </c>
    </row>
    <row r="267" spans="1:11" x14ac:dyDescent="0.2">
      <c r="A267" s="1">
        <v>41540</v>
      </c>
      <c r="B267" s="2">
        <f t="shared" si="18"/>
        <v>84</v>
      </c>
      <c r="C267">
        <v>11.815504539999999</v>
      </c>
      <c r="D267">
        <v>0</v>
      </c>
      <c r="E267">
        <v>0.76313636900000004</v>
      </c>
      <c r="F267">
        <v>10.99335934</v>
      </c>
      <c r="G267">
        <v>14.134009349999999</v>
      </c>
      <c r="H267">
        <v>0</v>
      </c>
      <c r="I267">
        <f t="shared" si="19"/>
        <v>11.052368170999999</v>
      </c>
      <c r="J267">
        <f t="shared" si="16"/>
        <v>11.815504539999999</v>
      </c>
      <c r="K267">
        <f t="shared" si="17"/>
        <v>5.9008830999999873E-2</v>
      </c>
    </row>
    <row r="268" spans="1:11" x14ac:dyDescent="0.2">
      <c r="A268" s="1">
        <v>41541</v>
      </c>
      <c r="B268" s="2">
        <f t="shared" si="18"/>
        <v>84</v>
      </c>
      <c r="C268">
        <v>10.99335934</v>
      </c>
      <c r="D268">
        <v>0</v>
      </c>
      <c r="E268">
        <v>1.974192301</v>
      </c>
      <c r="F268">
        <v>9.0190036199999994</v>
      </c>
      <c r="G268">
        <v>13.26285041</v>
      </c>
      <c r="H268">
        <v>0</v>
      </c>
      <c r="I268">
        <f t="shared" si="19"/>
        <v>9.0191670389999992</v>
      </c>
      <c r="J268">
        <f t="shared" si="16"/>
        <v>10.99335934</v>
      </c>
      <c r="K268">
        <f t="shared" si="17"/>
        <v>1.6341899999972043E-4</v>
      </c>
    </row>
    <row r="269" spans="1:11" x14ac:dyDescent="0.2">
      <c r="A269" s="1">
        <v>41542</v>
      </c>
      <c r="B269" s="2">
        <f t="shared" si="18"/>
        <v>85</v>
      </c>
      <c r="C269">
        <v>9.0190036199999994</v>
      </c>
      <c r="D269">
        <v>17.3</v>
      </c>
      <c r="E269">
        <v>4.5043055299999999</v>
      </c>
      <c r="F269">
        <v>21.79544559</v>
      </c>
      <c r="G269">
        <v>10.85421285</v>
      </c>
      <c r="H269">
        <v>0</v>
      </c>
      <c r="I269">
        <f t="shared" si="19"/>
        <v>21.81469809</v>
      </c>
      <c r="J269">
        <f t="shared" si="16"/>
        <v>26.31900362</v>
      </c>
      <c r="K269">
        <f t="shared" si="17"/>
        <v>1.9252500000000339E-2</v>
      </c>
    </row>
    <row r="270" spans="1:11" x14ac:dyDescent="0.2">
      <c r="A270" s="1">
        <v>41543</v>
      </c>
      <c r="B270" s="2">
        <f t="shared" si="18"/>
        <v>85</v>
      </c>
      <c r="C270">
        <v>21.79544559</v>
      </c>
      <c r="D270">
        <v>0</v>
      </c>
      <c r="E270">
        <v>4.5527662920000003</v>
      </c>
      <c r="F270">
        <v>17.175507440000001</v>
      </c>
      <c r="G270">
        <v>10.57519025</v>
      </c>
      <c r="H270">
        <v>0</v>
      </c>
      <c r="I270">
        <f t="shared" si="19"/>
        <v>17.242679297999999</v>
      </c>
      <c r="J270">
        <f t="shared" si="16"/>
        <v>21.79544559</v>
      </c>
      <c r="K270">
        <f t="shared" si="17"/>
        <v>6.7171857999998252E-2</v>
      </c>
    </row>
    <row r="271" spans="1:11" x14ac:dyDescent="0.2">
      <c r="A271" s="1">
        <v>41544</v>
      </c>
      <c r="B271" s="2">
        <f t="shared" si="18"/>
        <v>85</v>
      </c>
      <c r="C271">
        <v>17.175507440000001</v>
      </c>
      <c r="D271">
        <v>0</v>
      </c>
      <c r="E271">
        <v>6.5577475869999997</v>
      </c>
      <c r="F271">
        <v>10.16544633</v>
      </c>
      <c r="G271">
        <v>10.258946679999999</v>
      </c>
      <c r="H271">
        <v>0</v>
      </c>
      <c r="I271">
        <f t="shared" si="19"/>
        <v>10.617759853000001</v>
      </c>
      <c r="J271">
        <f t="shared" si="16"/>
        <v>17.175507440000001</v>
      </c>
      <c r="K271">
        <f t="shared" si="17"/>
        <v>0.45231352300000083</v>
      </c>
    </row>
    <row r="272" spans="1:11" x14ac:dyDescent="0.2">
      <c r="A272" s="1">
        <v>41545</v>
      </c>
      <c r="B272" s="2">
        <f t="shared" si="18"/>
        <v>85</v>
      </c>
      <c r="C272">
        <v>10.16544633</v>
      </c>
      <c r="D272">
        <v>0</v>
      </c>
      <c r="E272">
        <v>5.0776868129999997</v>
      </c>
      <c r="F272">
        <v>5.0760535920000001</v>
      </c>
      <c r="G272">
        <v>11.17807309</v>
      </c>
      <c r="H272">
        <v>0</v>
      </c>
      <c r="I272">
        <f t="shared" si="19"/>
        <v>5.0877595170000003</v>
      </c>
      <c r="J272">
        <f t="shared" si="16"/>
        <v>10.16544633</v>
      </c>
      <c r="K272">
        <f t="shared" si="17"/>
        <v>1.1705925000000228E-2</v>
      </c>
    </row>
    <row r="273" spans="1:11" x14ac:dyDescent="0.2">
      <c r="A273" s="1">
        <v>41546</v>
      </c>
      <c r="B273" s="2">
        <f t="shared" si="18"/>
        <v>85</v>
      </c>
      <c r="C273">
        <v>5.0760535920000001</v>
      </c>
      <c r="D273">
        <v>0</v>
      </c>
      <c r="E273">
        <v>4.2626210640000002</v>
      </c>
      <c r="F273">
        <v>0.58886844199999999</v>
      </c>
      <c r="G273">
        <v>8.2427265129999991</v>
      </c>
      <c r="H273">
        <v>0</v>
      </c>
      <c r="I273">
        <f t="shared" si="19"/>
        <v>0.81343252799999988</v>
      </c>
      <c r="J273">
        <f t="shared" si="16"/>
        <v>5.0760535920000001</v>
      </c>
      <c r="K273">
        <f t="shared" si="17"/>
        <v>0.22456408599999989</v>
      </c>
    </row>
    <row r="274" spans="1:11" x14ac:dyDescent="0.2">
      <c r="A274" s="1">
        <v>41547</v>
      </c>
      <c r="B274" s="2">
        <f t="shared" si="18"/>
        <v>86</v>
      </c>
      <c r="C274">
        <v>0.58886844199999999</v>
      </c>
      <c r="D274">
        <v>11.4</v>
      </c>
      <c r="E274">
        <v>2.8754243480000001</v>
      </c>
      <c r="F274">
        <v>9.0786477629999993</v>
      </c>
      <c r="G274">
        <v>10.259061559999999</v>
      </c>
      <c r="H274">
        <v>0</v>
      </c>
      <c r="I274">
        <f t="shared" si="19"/>
        <v>9.1134440940000019</v>
      </c>
      <c r="J274">
        <f t="shared" si="16"/>
        <v>11.988868442000001</v>
      </c>
      <c r="K274">
        <f t="shared" si="17"/>
        <v>3.4796331000002567E-2</v>
      </c>
    </row>
    <row r="275" spans="1:11" x14ac:dyDescent="0.2">
      <c r="A275" s="1">
        <v>41548</v>
      </c>
      <c r="B275" s="2">
        <f t="shared" si="18"/>
        <v>86</v>
      </c>
      <c r="C275">
        <v>9.0786477629999993</v>
      </c>
      <c r="D275">
        <v>0</v>
      </c>
      <c r="E275">
        <v>4.4862330950000002</v>
      </c>
      <c r="F275">
        <v>4.5805974149999997</v>
      </c>
      <c r="G275">
        <v>9.9776334870000003</v>
      </c>
      <c r="H275">
        <v>0</v>
      </c>
      <c r="I275">
        <f t="shared" si="19"/>
        <v>4.5924146679999991</v>
      </c>
      <c r="J275">
        <f t="shared" si="16"/>
        <v>9.0786477629999993</v>
      </c>
      <c r="K275">
        <f t="shared" si="17"/>
        <v>1.1817252999999361E-2</v>
      </c>
    </row>
    <row r="276" spans="1:11" x14ac:dyDescent="0.2">
      <c r="A276" s="1">
        <v>41549</v>
      </c>
      <c r="B276" s="2">
        <f t="shared" si="18"/>
        <v>86</v>
      </c>
      <c r="C276">
        <v>4.5805974149999997</v>
      </c>
      <c r="D276">
        <v>0</v>
      </c>
      <c r="E276">
        <v>2.5301585480000002</v>
      </c>
      <c r="F276">
        <v>1.934727662</v>
      </c>
      <c r="G276">
        <v>10.697704379999999</v>
      </c>
      <c r="H276">
        <v>0</v>
      </c>
      <c r="I276">
        <f t="shared" si="19"/>
        <v>2.0504388669999996</v>
      </c>
      <c r="J276">
        <f t="shared" si="16"/>
        <v>4.5805974149999997</v>
      </c>
      <c r="K276">
        <f t="shared" si="17"/>
        <v>0.11571120499999954</v>
      </c>
    </row>
    <row r="277" spans="1:11" x14ac:dyDescent="0.2">
      <c r="A277" s="1">
        <v>41550</v>
      </c>
      <c r="B277" s="2">
        <f t="shared" si="18"/>
        <v>87</v>
      </c>
      <c r="C277">
        <v>1.934727662</v>
      </c>
      <c r="D277">
        <v>12.7</v>
      </c>
      <c r="E277">
        <v>2.712260611</v>
      </c>
      <c r="F277">
        <v>11.92214442</v>
      </c>
      <c r="G277">
        <v>10.93891683</v>
      </c>
      <c r="H277">
        <v>0</v>
      </c>
      <c r="I277">
        <f t="shared" si="19"/>
        <v>11.922467051</v>
      </c>
      <c r="J277">
        <f t="shared" si="16"/>
        <v>14.634727662</v>
      </c>
      <c r="K277">
        <f t="shared" si="17"/>
        <v>3.2263099999951805E-4</v>
      </c>
    </row>
    <row r="278" spans="1:11" x14ac:dyDescent="0.2">
      <c r="A278" s="1">
        <v>41551</v>
      </c>
      <c r="B278" s="2">
        <f t="shared" si="18"/>
        <v>87</v>
      </c>
      <c r="C278">
        <v>11.92214442</v>
      </c>
      <c r="D278">
        <v>0</v>
      </c>
      <c r="E278">
        <v>2.7905413870000002</v>
      </c>
      <c r="F278">
        <v>8.9322149700000004</v>
      </c>
      <c r="G278">
        <v>11.67679886</v>
      </c>
      <c r="H278">
        <v>0</v>
      </c>
      <c r="I278">
        <f t="shared" si="19"/>
        <v>9.1316030330000011</v>
      </c>
      <c r="J278">
        <f t="shared" si="16"/>
        <v>11.92214442</v>
      </c>
      <c r="K278">
        <f t="shared" si="17"/>
        <v>0.19938806300000067</v>
      </c>
    </row>
    <row r="279" spans="1:11" x14ac:dyDescent="0.2">
      <c r="A279" s="1">
        <v>41552</v>
      </c>
      <c r="B279" s="2">
        <f t="shared" si="18"/>
        <v>87</v>
      </c>
      <c r="C279">
        <v>8.9322149700000004</v>
      </c>
      <c r="D279">
        <v>0</v>
      </c>
      <c r="E279">
        <v>2.8219989129999998</v>
      </c>
      <c r="F279">
        <v>6.1100781130000001</v>
      </c>
      <c r="G279">
        <v>11.06662116</v>
      </c>
      <c r="H279">
        <v>0</v>
      </c>
      <c r="I279">
        <f t="shared" si="19"/>
        <v>6.1102160570000006</v>
      </c>
      <c r="J279">
        <f t="shared" si="16"/>
        <v>8.9322149700000004</v>
      </c>
      <c r="K279">
        <f t="shared" si="17"/>
        <v>1.3794400000044504E-4</v>
      </c>
    </row>
    <row r="280" spans="1:11" x14ac:dyDescent="0.2">
      <c r="A280" s="1">
        <v>41553</v>
      </c>
      <c r="B280" s="2">
        <f t="shared" si="18"/>
        <v>88</v>
      </c>
      <c r="C280">
        <v>6.1100781130000001</v>
      </c>
      <c r="D280">
        <v>14.1</v>
      </c>
      <c r="E280">
        <v>5.2670744090000001</v>
      </c>
      <c r="F280">
        <v>14.85974008</v>
      </c>
      <c r="G280">
        <v>10.70630997</v>
      </c>
      <c r="H280">
        <v>0</v>
      </c>
      <c r="I280">
        <f t="shared" si="19"/>
        <v>14.943003704000002</v>
      </c>
      <c r="J280">
        <f t="shared" si="16"/>
        <v>20.210078113000002</v>
      </c>
      <c r="K280">
        <f t="shared" si="17"/>
        <v>8.3263624000002423E-2</v>
      </c>
    </row>
    <row r="281" spans="1:11" x14ac:dyDescent="0.2">
      <c r="A281" s="1">
        <v>41554</v>
      </c>
      <c r="B281" s="2">
        <f t="shared" si="18"/>
        <v>88</v>
      </c>
      <c r="C281">
        <v>14.85974008</v>
      </c>
      <c r="D281">
        <v>0</v>
      </c>
      <c r="E281">
        <v>4.9224684229999998</v>
      </c>
      <c r="F281">
        <v>9.3910172690000007</v>
      </c>
      <c r="G281">
        <v>11.4832079</v>
      </c>
      <c r="H281">
        <v>0</v>
      </c>
      <c r="I281">
        <f t="shared" si="19"/>
        <v>9.9372716570000001</v>
      </c>
      <c r="J281">
        <f t="shared" si="16"/>
        <v>14.85974008</v>
      </c>
      <c r="K281">
        <f t="shared" si="17"/>
        <v>0.54625438799999948</v>
      </c>
    </row>
    <row r="282" spans="1:11" x14ac:dyDescent="0.2">
      <c r="A282" s="1">
        <v>41555</v>
      </c>
      <c r="B282" s="2">
        <f t="shared" si="18"/>
        <v>88</v>
      </c>
      <c r="C282">
        <v>9.3910172690000007</v>
      </c>
      <c r="D282">
        <v>0</v>
      </c>
      <c r="E282">
        <v>4.1363832379999996</v>
      </c>
      <c r="F282">
        <v>5.231989649</v>
      </c>
      <c r="G282">
        <v>11.04671798</v>
      </c>
      <c r="H282">
        <v>0</v>
      </c>
      <c r="I282">
        <f t="shared" si="19"/>
        <v>5.254634031000001</v>
      </c>
      <c r="J282">
        <f t="shared" si="16"/>
        <v>9.3910172690000007</v>
      </c>
      <c r="K282">
        <f t="shared" si="17"/>
        <v>2.2644382000001073E-2</v>
      </c>
    </row>
    <row r="283" spans="1:11" x14ac:dyDescent="0.2">
      <c r="A283" s="1">
        <v>41556</v>
      </c>
      <c r="B283" s="2">
        <f t="shared" si="18"/>
        <v>88</v>
      </c>
      <c r="C283">
        <v>5.231989649</v>
      </c>
      <c r="D283">
        <v>0</v>
      </c>
      <c r="E283">
        <v>1.978636866</v>
      </c>
      <c r="F283">
        <v>3.216361858</v>
      </c>
      <c r="G283">
        <v>11.886766639999999</v>
      </c>
      <c r="H283">
        <v>0</v>
      </c>
      <c r="I283">
        <f t="shared" si="19"/>
        <v>3.253352783</v>
      </c>
      <c r="J283">
        <f t="shared" si="16"/>
        <v>5.231989649</v>
      </c>
      <c r="K283">
        <f t="shared" si="17"/>
        <v>3.6990925000000008E-2</v>
      </c>
    </row>
    <row r="284" spans="1:11" x14ac:dyDescent="0.2">
      <c r="A284" s="1">
        <v>41557</v>
      </c>
      <c r="B284" s="2">
        <f t="shared" si="18"/>
        <v>89</v>
      </c>
      <c r="C284">
        <v>3.216361858</v>
      </c>
      <c r="D284">
        <v>12.8</v>
      </c>
      <c r="E284">
        <v>2.0908119279999999</v>
      </c>
      <c r="F284">
        <v>13.86438051</v>
      </c>
      <c r="G284">
        <v>12.45284773</v>
      </c>
      <c r="H284">
        <v>0</v>
      </c>
      <c r="I284">
        <f t="shared" si="19"/>
        <v>13.925549929999999</v>
      </c>
      <c r="J284">
        <f t="shared" si="16"/>
        <v>16.016361858</v>
      </c>
      <c r="K284">
        <f t="shared" si="17"/>
        <v>6.1169419999998809E-2</v>
      </c>
    </row>
    <row r="285" spans="1:11" x14ac:dyDescent="0.2">
      <c r="A285" s="1">
        <v>41558</v>
      </c>
      <c r="B285" s="2">
        <f t="shared" si="18"/>
        <v>89</v>
      </c>
      <c r="C285">
        <v>13.86438051</v>
      </c>
      <c r="D285">
        <v>0</v>
      </c>
      <c r="E285">
        <v>2.364488997</v>
      </c>
      <c r="F285">
        <v>11.47901935</v>
      </c>
      <c r="G285">
        <v>13.28812398</v>
      </c>
      <c r="H285">
        <v>0</v>
      </c>
      <c r="I285">
        <f t="shared" si="19"/>
        <v>11.499891513</v>
      </c>
      <c r="J285">
        <f t="shared" si="16"/>
        <v>13.86438051</v>
      </c>
      <c r="K285">
        <f t="shared" si="17"/>
        <v>2.0872162999999944E-2</v>
      </c>
    </row>
    <row r="286" spans="1:11" x14ac:dyDescent="0.2">
      <c r="A286" s="1">
        <v>41559</v>
      </c>
      <c r="B286" s="2">
        <f t="shared" si="18"/>
        <v>89</v>
      </c>
      <c r="C286">
        <v>11.47901935</v>
      </c>
      <c r="D286">
        <v>0</v>
      </c>
      <c r="E286">
        <v>2.2127726839999999</v>
      </c>
      <c r="F286">
        <v>9.2078683350000006</v>
      </c>
      <c r="G286">
        <v>12.471570809999999</v>
      </c>
      <c r="H286">
        <v>0</v>
      </c>
      <c r="I286">
        <f t="shared" si="19"/>
        <v>9.2662466660000007</v>
      </c>
      <c r="J286">
        <f t="shared" si="16"/>
        <v>11.47901935</v>
      </c>
      <c r="K286">
        <f t="shared" si="17"/>
        <v>5.8378331000000117E-2</v>
      </c>
    </row>
    <row r="287" spans="1:11" x14ac:dyDescent="0.2">
      <c r="A287" s="1">
        <v>41560</v>
      </c>
      <c r="B287" s="2">
        <f t="shared" si="18"/>
        <v>89</v>
      </c>
      <c r="C287">
        <v>9.2078683350000006</v>
      </c>
      <c r="D287">
        <v>0</v>
      </c>
      <c r="E287">
        <v>2.3254345750000001</v>
      </c>
      <c r="F287">
        <v>6.8570884850000002</v>
      </c>
      <c r="G287">
        <v>12.399087919999999</v>
      </c>
      <c r="H287">
        <v>0</v>
      </c>
      <c r="I287">
        <f t="shared" si="19"/>
        <v>6.8824337600000005</v>
      </c>
      <c r="J287">
        <f t="shared" si="16"/>
        <v>9.2078683350000006</v>
      </c>
      <c r="K287">
        <f t="shared" si="17"/>
        <v>2.5345275000000278E-2</v>
      </c>
    </row>
    <row r="288" spans="1:11" x14ac:dyDescent="0.2">
      <c r="A288" s="1">
        <v>41561</v>
      </c>
      <c r="B288" s="2">
        <f t="shared" si="18"/>
        <v>90</v>
      </c>
      <c r="C288">
        <v>6.8570884850000002</v>
      </c>
      <c r="D288">
        <v>22</v>
      </c>
      <c r="E288">
        <v>1.4509285350000001</v>
      </c>
      <c r="F288">
        <v>26.56030724</v>
      </c>
      <c r="G288">
        <v>13.94070615</v>
      </c>
      <c r="H288">
        <v>0</v>
      </c>
      <c r="I288">
        <f t="shared" si="19"/>
        <v>27.406159949999999</v>
      </c>
      <c r="J288">
        <f t="shared" si="16"/>
        <v>28.857088484999998</v>
      </c>
      <c r="K288">
        <f t="shared" si="17"/>
        <v>0.84585270999999906</v>
      </c>
    </row>
    <row r="289" spans="1:11" x14ac:dyDescent="0.2">
      <c r="A289" s="1">
        <v>41562</v>
      </c>
      <c r="B289" s="2">
        <f t="shared" si="18"/>
        <v>90</v>
      </c>
      <c r="C289">
        <v>26.56030724</v>
      </c>
      <c r="D289">
        <v>0</v>
      </c>
      <c r="E289">
        <v>1.7718958869999999</v>
      </c>
      <c r="F289">
        <v>24.469281559999999</v>
      </c>
      <c r="G289">
        <v>13.526893340000001</v>
      </c>
      <c r="H289">
        <v>0</v>
      </c>
      <c r="I289">
        <f t="shared" si="19"/>
        <v>24.788411353000001</v>
      </c>
      <c r="J289">
        <f t="shared" si="16"/>
        <v>26.56030724</v>
      </c>
      <c r="K289">
        <f t="shared" si="17"/>
        <v>0.31912979300000188</v>
      </c>
    </row>
    <row r="290" spans="1:11" x14ac:dyDescent="0.2">
      <c r="A290" s="1">
        <v>41563</v>
      </c>
      <c r="B290" s="2">
        <f t="shared" si="18"/>
        <v>90</v>
      </c>
      <c r="C290">
        <v>24.469281559999999</v>
      </c>
      <c r="D290">
        <v>0</v>
      </c>
      <c r="E290">
        <v>3.1075299360000002</v>
      </c>
      <c r="F290">
        <v>21.323204969999999</v>
      </c>
      <c r="G290">
        <v>11.191518690000001</v>
      </c>
      <c r="H290">
        <v>0</v>
      </c>
      <c r="I290">
        <f t="shared" si="19"/>
        <v>21.361751624</v>
      </c>
      <c r="J290">
        <f t="shared" si="16"/>
        <v>24.469281559999999</v>
      </c>
      <c r="K290">
        <f t="shared" si="17"/>
        <v>3.8546654000001013E-2</v>
      </c>
    </row>
    <row r="291" spans="1:11" x14ac:dyDescent="0.2">
      <c r="A291" s="1">
        <v>41564</v>
      </c>
      <c r="B291" s="2">
        <f t="shared" si="18"/>
        <v>90</v>
      </c>
      <c r="C291">
        <v>21.323204969999999</v>
      </c>
      <c r="D291">
        <v>0</v>
      </c>
      <c r="E291">
        <v>3.616538566</v>
      </c>
      <c r="F291">
        <v>17.3122951</v>
      </c>
      <c r="G291">
        <v>10.73184403</v>
      </c>
      <c r="H291">
        <v>0</v>
      </c>
      <c r="I291">
        <f t="shared" si="19"/>
        <v>17.706666404</v>
      </c>
      <c r="J291">
        <f t="shared" si="16"/>
        <v>21.323204969999999</v>
      </c>
      <c r="K291">
        <f t="shared" si="17"/>
        <v>0.39437130399999987</v>
      </c>
    </row>
    <row r="292" spans="1:11" x14ac:dyDescent="0.2">
      <c r="A292" s="1">
        <v>41565</v>
      </c>
      <c r="B292" s="2">
        <f t="shared" si="18"/>
        <v>90</v>
      </c>
      <c r="C292">
        <v>17.3122951</v>
      </c>
      <c r="D292">
        <v>0</v>
      </c>
      <c r="E292">
        <v>2.754376052</v>
      </c>
      <c r="F292">
        <v>14.34842521</v>
      </c>
      <c r="G292">
        <v>13.336596139999999</v>
      </c>
      <c r="H292">
        <v>0</v>
      </c>
      <c r="I292">
        <f t="shared" si="19"/>
        <v>14.557919048</v>
      </c>
      <c r="J292">
        <f t="shared" si="16"/>
        <v>17.3122951</v>
      </c>
      <c r="K292">
        <f t="shared" si="17"/>
        <v>0.20949383800000021</v>
      </c>
    </row>
    <row r="293" spans="1:11" x14ac:dyDescent="0.2">
      <c r="A293" s="1">
        <v>41566</v>
      </c>
      <c r="B293" s="2">
        <f t="shared" si="18"/>
        <v>90</v>
      </c>
      <c r="C293">
        <v>14.34842521</v>
      </c>
      <c r="D293">
        <v>0</v>
      </c>
      <c r="E293">
        <v>3.8176265210000002</v>
      </c>
      <c r="F293">
        <v>10.51344862</v>
      </c>
      <c r="G293">
        <v>14.00457125</v>
      </c>
      <c r="H293">
        <v>0</v>
      </c>
      <c r="I293">
        <f t="shared" si="19"/>
        <v>10.530798689000001</v>
      </c>
      <c r="J293">
        <f t="shared" si="16"/>
        <v>14.34842521</v>
      </c>
      <c r="K293">
        <f t="shared" si="17"/>
        <v>1.7350069000000801E-2</v>
      </c>
    </row>
    <row r="294" spans="1:11" x14ac:dyDescent="0.2">
      <c r="A294" s="1">
        <v>41567</v>
      </c>
      <c r="B294" s="2">
        <f t="shared" si="18"/>
        <v>90</v>
      </c>
      <c r="C294">
        <v>10.51344862</v>
      </c>
      <c r="D294">
        <v>0</v>
      </c>
      <c r="E294">
        <v>0.85672462400000005</v>
      </c>
      <c r="F294">
        <v>9.4860308010000001</v>
      </c>
      <c r="G294">
        <v>13.991176250000001</v>
      </c>
      <c r="H294">
        <v>0</v>
      </c>
      <c r="I294">
        <f t="shared" si="19"/>
        <v>9.6567239960000002</v>
      </c>
      <c r="J294">
        <f t="shared" si="16"/>
        <v>10.51344862</v>
      </c>
      <c r="K294">
        <f t="shared" si="17"/>
        <v>0.17069319500000013</v>
      </c>
    </row>
    <row r="295" spans="1:11" x14ac:dyDescent="0.2">
      <c r="A295" s="1">
        <v>41568</v>
      </c>
      <c r="B295" s="2">
        <f t="shared" si="18"/>
        <v>90</v>
      </c>
      <c r="C295">
        <v>9.4860308010000001</v>
      </c>
      <c r="D295">
        <v>0</v>
      </c>
      <c r="E295">
        <v>0.87198381599999997</v>
      </c>
      <c r="F295">
        <v>8.6136921130000008</v>
      </c>
      <c r="G295">
        <v>13.956469009999999</v>
      </c>
      <c r="H295">
        <v>0</v>
      </c>
      <c r="I295">
        <f t="shared" si="19"/>
        <v>8.6140469849999999</v>
      </c>
      <c r="J295">
        <f t="shared" si="16"/>
        <v>9.4860308010000001</v>
      </c>
      <c r="K295">
        <f t="shared" si="17"/>
        <v>3.5487199999906238E-4</v>
      </c>
    </row>
    <row r="296" spans="1:11" x14ac:dyDescent="0.2">
      <c r="A296" s="1">
        <v>41569</v>
      </c>
      <c r="B296" s="2">
        <f t="shared" si="18"/>
        <v>91</v>
      </c>
      <c r="C296">
        <v>8.6136921130000008</v>
      </c>
      <c r="D296">
        <v>41.2</v>
      </c>
      <c r="E296">
        <v>3.2590397169999998</v>
      </c>
      <c r="F296">
        <v>46.406204279999997</v>
      </c>
      <c r="G296">
        <v>13.612823860000001</v>
      </c>
      <c r="H296">
        <v>0</v>
      </c>
      <c r="I296">
        <f t="shared" si="19"/>
        <v>46.554652396000002</v>
      </c>
      <c r="J296">
        <f t="shared" si="16"/>
        <v>49.813692113000002</v>
      </c>
      <c r="K296">
        <f t="shared" si="17"/>
        <v>0.1484481160000044</v>
      </c>
    </row>
    <row r="297" spans="1:11" x14ac:dyDescent="0.2">
      <c r="A297" s="1">
        <v>41570</v>
      </c>
      <c r="B297" s="2">
        <f t="shared" si="18"/>
        <v>91</v>
      </c>
      <c r="C297">
        <v>46.406204279999997</v>
      </c>
      <c r="D297">
        <v>0</v>
      </c>
      <c r="E297">
        <v>4.8319170869999999</v>
      </c>
      <c r="F297">
        <v>41.436248110000001</v>
      </c>
      <c r="G297">
        <v>11.915646260000001</v>
      </c>
      <c r="H297">
        <v>0</v>
      </c>
      <c r="I297">
        <f t="shared" si="19"/>
        <v>41.574287192999996</v>
      </c>
      <c r="J297">
        <f t="shared" si="16"/>
        <v>46.406204279999997</v>
      </c>
      <c r="K297">
        <f t="shared" si="17"/>
        <v>0.13803908299999534</v>
      </c>
    </row>
    <row r="298" spans="1:11" x14ac:dyDescent="0.2">
      <c r="A298" s="1">
        <v>41571</v>
      </c>
      <c r="B298" s="2">
        <f t="shared" si="18"/>
        <v>91</v>
      </c>
      <c r="C298">
        <v>41.436248110000001</v>
      </c>
      <c r="D298">
        <v>0</v>
      </c>
      <c r="E298">
        <v>4.0398013820000003</v>
      </c>
      <c r="F298">
        <v>36.811215109999999</v>
      </c>
      <c r="G298">
        <v>11.974719179999999</v>
      </c>
      <c r="H298">
        <v>0</v>
      </c>
      <c r="I298">
        <f t="shared" si="19"/>
        <v>37.396446728000001</v>
      </c>
      <c r="J298">
        <f t="shared" si="16"/>
        <v>41.436248110000001</v>
      </c>
      <c r="K298">
        <f t="shared" si="17"/>
        <v>0.58523161800000167</v>
      </c>
    </row>
    <row r="299" spans="1:11" x14ac:dyDescent="0.2">
      <c r="A299" s="1">
        <v>41572</v>
      </c>
      <c r="B299" s="2">
        <f t="shared" si="18"/>
        <v>91</v>
      </c>
      <c r="C299">
        <v>36.811215109999999</v>
      </c>
      <c r="D299">
        <v>0</v>
      </c>
      <c r="E299">
        <v>4.1146988630000001</v>
      </c>
      <c r="F299">
        <v>32.586716500000001</v>
      </c>
      <c r="G299">
        <v>11.913207460000001</v>
      </c>
      <c r="H299">
        <v>0</v>
      </c>
      <c r="I299">
        <f t="shared" si="19"/>
        <v>32.696516246999998</v>
      </c>
      <c r="J299">
        <f t="shared" si="16"/>
        <v>36.811215109999999</v>
      </c>
      <c r="K299">
        <f t="shared" si="17"/>
        <v>0.10979974699999673</v>
      </c>
    </row>
    <row r="300" spans="1:11" x14ac:dyDescent="0.2">
      <c r="A300" s="1">
        <v>41573</v>
      </c>
      <c r="B300" s="2">
        <f t="shared" si="18"/>
        <v>91</v>
      </c>
      <c r="C300">
        <v>32.586716500000001</v>
      </c>
      <c r="D300">
        <v>0</v>
      </c>
      <c r="E300">
        <v>2.881351548</v>
      </c>
      <c r="F300">
        <v>29.285495059999999</v>
      </c>
      <c r="G300">
        <v>11.92779427</v>
      </c>
      <c r="H300">
        <v>0</v>
      </c>
      <c r="I300">
        <f t="shared" si="19"/>
        <v>29.705364952</v>
      </c>
      <c r="J300">
        <f t="shared" si="16"/>
        <v>32.586716500000001</v>
      </c>
      <c r="K300">
        <f t="shared" si="17"/>
        <v>0.41986989200000124</v>
      </c>
    </row>
    <row r="301" spans="1:11" x14ac:dyDescent="0.2">
      <c r="A301" s="1">
        <v>41574</v>
      </c>
      <c r="B301" s="2">
        <f t="shared" si="18"/>
        <v>91</v>
      </c>
      <c r="C301">
        <v>29.285495059999999</v>
      </c>
      <c r="D301">
        <v>0</v>
      </c>
      <c r="E301">
        <v>5.6830242269999998</v>
      </c>
      <c r="F301">
        <v>23.567852819999999</v>
      </c>
      <c r="G301">
        <v>11.963812020000001</v>
      </c>
      <c r="H301">
        <v>0</v>
      </c>
      <c r="I301">
        <f t="shared" si="19"/>
        <v>23.602470832999998</v>
      </c>
      <c r="J301">
        <f t="shared" si="16"/>
        <v>29.285495059999999</v>
      </c>
      <c r="K301">
        <f t="shared" si="17"/>
        <v>3.4618012999999337E-2</v>
      </c>
    </row>
    <row r="302" spans="1:11" x14ac:dyDescent="0.2">
      <c r="A302" s="1">
        <v>41575</v>
      </c>
      <c r="B302" s="2">
        <f t="shared" si="18"/>
        <v>92</v>
      </c>
      <c r="C302">
        <v>23.567852819999999</v>
      </c>
      <c r="D302">
        <v>21.1</v>
      </c>
      <c r="E302">
        <v>1.4122193540000001</v>
      </c>
      <c r="F302">
        <v>43.246146869999997</v>
      </c>
      <c r="G302">
        <v>11.925239639999999</v>
      </c>
      <c r="H302">
        <v>0</v>
      </c>
      <c r="I302">
        <f t="shared" si="19"/>
        <v>43.255633465999999</v>
      </c>
      <c r="J302">
        <f t="shared" si="16"/>
        <v>44.66785282</v>
      </c>
      <c r="K302">
        <f t="shared" si="17"/>
        <v>9.4865960000021232E-3</v>
      </c>
    </row>
    <row r="303" spans="1:11" x14ac:dyDescent="0.2">
      <c r="A303" s="1">
        <v>41576</v>
      </c>
      <c r="B303" s="2">
        <f t="shared" si="18"/>
        <v>92</v>
      </c>
      <c r="C303">
        <v>43.246146869999997</v>
      </c>
      <c r="D303">
        <v>0</v>
      </c>
      <c r="E303">
        <v>4.6610288549999996</v>
      </c>
      <c r="F303">
        <v>37.471294589999999</v>
      </c>
      <c r="G303">
        <v>9.9313872280000002</v>
      </c>
      <c r="H303">
        <v>0</v>
      </c>
      <c r="I303">
        <f t="shared" si="19"/>
        <v>38.585118014999999</v>
      </c>
      <c r="J303">
        <f t="shared" si="16"/>
        <v>43.246146869999997</v>
      </c>
      <c r="K303">
        <f t="shared" si="17"/>
        <v>1.1138234249999996</v>
      </c>
    </row>
    <row r="304" spans="1:11" x14ac:dyDescent="0.2">
      <c r="A304" s="1">
        <v>41577</v>
      </c>
      <c r="B304" s="2">
        <f t="shared" si="18"/>
        <v>92</v>
      </c>
      <c r="C304">
        <v>37.471294589999999</v>
      </c>
      <c r="D304">
        <v>0</v>
      </c>
      <c r="E304">
        <v>3.457715941</v>
      </c>
      <c r="F304">
        <v>33.65633776</v>
      </c>
      <c r="G304">
        <v>11.99316046</v>
      </c>
      <c r="H304">
        <v>0</v>
      </c>
      <c r="I304">
        <f t="shared" si="19"/>
        <v>34.013578648999996</v>
      </c>
      <c r="J304">
        <f t="shared" si="16"/>
        <v>37.471294589999999</v>
      </c>
      <c r="K304">
        <f t="shared" si="17"/>
        <v>0.35724088899999629</v>
      </c>
    </row>
    <row r="305" spans="1:11" x14ac:dyDescent="0.2">
      <c r="A305" s="1">
        <v>41578</v>
      </c>
      <c r="B305" s="2">
        <f t="shared" si="18"/>
        <v>92</v>
      </c>
      <c r="C305">
        <v>33.65633776</v>
      </c>
      <c r="D305">
        <v>0</v>
      </c>
      <c r="E305">
        <v>4.6419804080000002</v>
      </c>
      <c r="F305">
        <v>29.0114631</v>
      </c>
      <c r="G305">
        <v>11.97839211</v>
      </c>
      <c r="H305">
        <v>0</v>
      </c>
      <c r="I305">
        <f t="shared" si="19"/>
        <v>29.014357351999998</v>
      </c>
      <c r="J305">
        <f t="shared" si="16"/>
        <v>33.65633776</v>
      </c>
      <c r="K305">
        <f t="shared" si="17"/>
        <v>2.894251999997266E-3</v>
      </c>
    </row>
    <row r="306" spans="1:11" x14ac:dyDescent="0.2">
      <c r="A306" s="1">
        <v>41579</v>
      </c>
      <c r="B306" s="2">
        <f t="shared" si="18"/>
        <v>92</v>
      </c>
      <c r="C306">
        <v>29.0114631</v>
      </c>
      <c r="D306">
        <v>0</v>
      </c>
      <c r="E306">
        <v>3.9238192980000002</v>
      </c>
      <c r="F306">
        <v>25.087491069999999</v>
      </c>
      <c r="G306">
        <v>11.92762731</v>
      </c>
      <c r="H306">
        <v>0</v>
      </c>
      <c r="I306">
        <f t="shared" si="19"/>
        <v>25.087643801999999</v>
      </c>
      <c r="J306">
        <f t="shared" si="16"/>
        <v>29.0114631</v>
      </c>
      <c r="K306">
        <f t="shared" si="17"/>
        <v>1.5273200000009979E-4</v>
      </c>
    </row>
    <row r="307" spans="1:11" x14ac:dyDescent="0.2">
      <c r="A307" s="1">
        <v>41580</v>
      </c>
      <c r="B307" s="2">
        <f t="shared" si="18"/>
        <v>92</v>
      </c>
      <c r="C307">
        <v>25.087491069999999</v>
      </c>
      <c r="D307">
        <v>0</v>
      </c>
      <c r="E307">
        <v>3.1188092350000001</v>
      </c>
      <c r="F307">
        <v>21.705573529999999</v>
      </c>
      <c r="G307">
        <v>11.973733729999999</v>
      </c>
      <c r="H307">
        <v>0</v>
      </c>
      <c r="I307">
        <f t="shared" si="19"/>
        <v>21.968681834999998</v>
      </c>
      <c r="J307">
        <f t="shared" si="16"/>
        <v>25.087491069999999</v>
      </c>
      <c r="K307">
        <f t="shared" si="17"/>
        <v>0.26310830499999938</v>
      </c>
    </row>
    <row r="308" spans="1:11" x14ac:dyDescent="0.2">
      <c r="A308" s="1">
        <v>41581</v>
      </c>
      <c r="B308" s="2">
        <f t="shared" si="18"/>
        <v>92</v>
      </c>
      <c r="C308">
        <v>21.705573529999999</v>
      </c>
      <c r="D308">
        <v>0</v>
      </c>
      <c r="E308">
        <v>1.159162295</v>
      </c>
      <c r="F308">
        <v>20.244816480000001</v>
      </c>
      <c r="G308">
        <v>11.96737654</v>
      </c>
      <c r="H308">
        <v>0</v>
      </c>
      <c r="I308">
        <f t="shared" si="19"/>
        <v>20.546411234999997</v>
      </c>
      <c r="J308">
        <f t="shared" si="16"/>
        <v>21.705573529999999</v>
      </c>
      <c r="K308">
        <f t="shared" si="17"/>
        <v>0.30159475499999644</v>
      </c>
    </row>
    <row r="309" spans="1:11" x14ac:dyDescent="0.2">
      <c r="A309" s="1">
        <v>41582</v>
      </c>
      <c r="B309" s="2">
        <f t="shared" si="18"/>
        <v>92</v>
      </c>
      <c r="C309">
        <v>20.244816480000001</v>
      </c>
      <c r="D309">
        <v>0</v>
      </c>
      <c r="E309">
        <v>1.812735534</v>
      </c>
      <c r="F309">
        <v>18.431985180000002</v>
      </c>
      <c r="G309">
        <v>12.0047674</v>
      </c>
      <c r="H309">
        <v>0</v>
      </c>
      <c r="I309">
        <f t="shared" si="19"/>
        <v>18.432080945999999</v>
      </c>
      <c r="J309">
        <f t="shared" si="16"/>
        <v>20.244816480000001</v>
      </c>
      <c r="K309">
        <f t="shared" si="17"/>
        <v>9.5765999997610152E-5</v>
      </c>
    </row>
    <row r="310" spans="1:11" x14ac:dyDescent="0.2">
      <c r="A310" s="1">
        <v>41583</v>
      </c>
      <c r="B310" s="2">
        <f t="shared" si="18"/>
        <v>92</v>
      </c>
      <c r="C310">
        <v>18.431985180000002</v>
      </c>
      <c r="D310">
        <v>0</v>
      </c>
      <c r="E310">
        <v>1.379297875</v>
      </c>
      <c r="F310">
        <v>16.545161929999999</v>
      </c>
      <c r="G310">
        <v>11.98459615</v>
      </c>
      <c r="H310">
        <v>0</v>
      </c>
      <c r="I310">
        <f t="shared" si="19"/>
        <v>17.052687305000003</v>
      </c>
      <c r="J310">
        <f t="shared" si="16"/>
        <v>18.431985180000002</v>
      </c>
      <c r="K310">
        <f t="shared" si="17"/>
        <v>0.50752537500000372</v>
      </c>
    </row>
    <row r="311" spans="1:11" x14ac:dyDescent="0.2">
      <c r="A311" s="1">
        <v>41584</v>
      </c>
      <c r="B311" s="2">
        <f t="shared" si="18"/>
        <v>92</v>
      </c>
      <c r="C311">
        <v>16.545161929999999</v>
      </c>
      <c r="D311">
        <v>0</v>
      </c>
      <c r="E311">
        <v>3.1296564760000001</v>
      </c>
      <c r="F311">
        <v>13.36774065</v>
      </c>
      <c r="G311">
        <v>12.65256686</v>
      </c>
      <c r="H311">
        <v>0</v>
      </c>
      <c r="I311">
        <f t="shared" si="19"/>
        <v>13.415505453999998</v>
      </c>
      <c r="J311">
        <f t="shared" si="16"/>
        <v>16.545161929999999</v>
      </c>
      <c r="K311">
        <f t="shared" si="17"/>
        <v>4.7764803999998051E-2</v>
      </c>
    </row>
    <row r="312" spans="1:11" x14ac:dyDescent="0.2">
      <c r="A312" s="1">
        <v>41585</v>
      </c>
      <c r="B312" s="2">
        <f t="shared" si="18"/>
        <v>93</v>
      </c>
      <c r="C312">
        <v>13.36774065</v>
      </c>
      <c r="D312">
        <v>6.2</v>
      </c>
      <c r="E312">
        <v>1.5537708079999999</v>
      </c>
      <c r="F312">
        <v>18.013713729999999</v>
      </c>
      <c r="G312">
        <v>13.146152819999999</v>
      </c>
      <c r="H312">
        <v>0</v>
      </c>
      <c r="I312">
        <f t="shared" si="19"/>
        <v>18.013969842000002</v>
      </c>
      <c r="J312">
        <f t="shared" si="16"/>
        <v>19.567740650000001</v>
      </c>
      <c r="K312">
        <f t="shared" si="17"/>
        <v>2.5611200000241752E-4</v>
      </c>
    </row>
    <row r="313" spans="1:11" x14ac:dyDescent="0.2">
      <c r="A313" s="1">
        <v>41586</v>
      </c>
      <c r="B313" s="2">
        <f t="shared" si="18"/>
        <v>93</v>
      </c>
      <c r="C313">
        <v>18.013713729999999</v>
      </c>
      <c r="D313">
        <v>0</v>
      </c>
      <c r="E313">
        <v>0.63258317900000005</v>
      </c>
      <c r="F313">
        <v>17.368753600000002</v>
      </c>
      <c r="G313">
        <v>13.167842609999999</v>
      </c>
      <c r="H313">
        <v>0</v>
      </c>
      <c r="I313">
        <f t="shared" si="19"/>
        <v>17.381130550999998</v>
      </c>
      <c r="J313">
        <f t="shared" si="16"/>
        <v>18.013713729999999</v>
      </c>
      <c r="K313">
        <f t="shared" si="17"/>
        <v>1.2376950999996694E-2</v>
      </c>
    </row>
    <row r="314" spans="1:11" x14ac:dyDescent="0.2">
      <c r="A314" s="1">
        <v>41587</v>
      </c>
      <c r="B314" s="2">
        <f t="shared" si="18"/>
        <v>93</v>
      </c>
      <c r="C314">
        <v>17.368753600000002</v>
      </c>
      <c r="D314">
        <v>0</v>
      </c>
      <c r="E314">
        <v>2.289597949</v>
      </c>
      <c r="F314">
        <v>15.07739061</v>
      </c>
      <c r="G314">
        <v>13.203686360000001</v>
      </c>
      <c r="H314">
        <v>0</v>
      </c>
      <c r="I314">
        <f t="shared" si="19"/>
        <v>15.079155651000001</v>
      </c>
      <c r="J314">
        <f t="shared" si="16"/>
        <v>17.368753600000002</v>
      </c>
      <c r="K314">
        <f t="shared" si="17"/>
        <v>1.7650410000005223E-3</v>
      </c>
    </row>
    <row r="315" spans="1:11" x14ac:dyDescent="0.2">
      <c r="A315" s="1">
        <v>41588</v>
      </c>
      <c r="B315" s="2">
        <f t="shared" si="18"/>
        <v>93</v>
      </c>
      <c r="C315">
        <v>15.07739061</v>
      </c>
      <c r="D315">
        <v>0</v>
      </c>
      <c r="E315">
        <v>1.5699855330000001</v>
      </c>
      <c r="F315">
        <v>13.47082515</v>
      </c>
      <c r="G315">
        <v>13.11793484</v>
      </c>
      <c r="H315">
        <v>0</v>
      </c>
      <c r="I315">
        <f t="shared" si="19"/>
        <v>13.507405077</v>
      </c>
      <c r="J315">
        <f t="shared" si="16"/>
        <v>15.07739061</v>
      </c>
      <c r="K315">
        <f t="shared" si="17"/>
        <v>3.6579927000000012E-2</v>
      </c>
    </row>
    <row r="316" spans="1:11" x14ac:dyDescent="0.2">
      <c r="A316" s="1">
        <v>41589</v>
      </c>
      <c r="B316" s="2">
        <f t="shared" si="18"/>
        <v>93</v>
      </c>
      <c r="C316">
        <v>13.47082515</v>
      </c>
      <c r="D316">
        <v>0</v>
      </c>
      <c r="E316">
        <v>3.2940636350000001</v>
      </c>
      <c r="F316">
        <v>10.17675038</v>
      </c>
      <c r="G316">
        <v>13.12795085</v>
      </c>
      <c r="H316">
        <v>0</v>
      </c>
      <c r="I316">
        <f t="shared" si="19"/>
        <v>10.176761514999999</v>
      </c>
      <c r="J316">
        <f t="shared" si="16"/>
        <v>13.47082515</v>
      </c>
      <c r="K316">
        <f t="shared" si="17"/>
        <v>1.1134999999384831E-5</v>
      </c>
    </row>
    <row r="317" spans="1:11" x14ac:dyDescent="0.2">
      <c r="A317" s="1">
        <v>41590</v>
      </c>
      <c r="B317" s="2">
        <f t="shared" si="18"/>
        <v>93</v>
      </c>
      <c r="C317">
        <v>10.17675038</v>
      </c>
      <c r="D317">
        <v>0</v>
      </c>
      <c r="E317">
        <v>2.9725167849999998</v>
      </c>
      <c r="F317">
        <v>7.1523392719999999</v>
      </c>
      <c r="G317">
        <v>13.1328786</v>
      </c>
      <c r="H317">
        <v>0</v>
      </c>
      <c r="I317">
        <f t="shared" si="19"/>
        <v>7.2042335949999998</v>
      </c>
      <c r="J317">
        <f t="shared" si="16"/>
        <v>10.17675038</v>
      </c>
      <c r="K317">
        <f t="shared" si="17"/>
        <v>5.1894322999999964E-2</v>
      </c>
    </row>
    <row r="318" spans="1:11" x14ac:dyDescent="0.2">
      <c r="A318" s="1">
        <v>41591</v>
      </c>
      <c r="B318" s="2">
        <f t="shared" si="18"/>
        <v>94</v>
      </c>
      <c r="C318">
        <v>7.1523392719999999</v>
      </c>
      <c r="D318">
        <v>22.8</v>
      </c>
      <c r="E318">
        <v>0.90617674999999998</v>
      </c>
      <c r="F318">
        <v>29.046152419999999</v>
      </c>
      <c r="G318">
        <v>13.14873886</v>
      </c>
      <c r="H318">
        <v>0</v>
      </c>
      <c r="I318">
        <f t="shared" si="19"/>
        <v>29.046162521999999</v>
      </c>
      <c r="J318">
        <f t="shared" si="16"/>
        <v>29.952339272</v>
      </c>
      <c r="K318">
        <f t="shared" si="17"/>
        <v>1.0102000000955513E-5</v>
      </c>
    </row>
    <row r="319" spans="1:11" x14ac:dyDescent="0.2">
      <c r="A319" s="1">
        <v>41592</v>
      </c>
      <c r="B319" s="2">
        <f t="shared" si="18"/>
        <v>94</v>
      </c>
      <c r="C319">
        <v>29.046152419999999</v>
      </c>
      <c r="D319">
        <v>0</v>
      </c>
      <c r="E319">
        <v>1.1753420109999999</v>
      </c>
      <c r="F319">
        <v>27.870800209999999</v>
      </c>
      <c r="G319">
        <v>13.189703639999999</v>
      </c>
      <c r="H319">
        <v>0</v>
      </c>
      <c r="I319">
        <f t="shared" si="19"/>
        <v>27.870810408999997</v>
      </c>
      <c r="J319">
        <f t="shared" si="16"/>
        <v>29.046152419999999</v>
      </c>
      <c r="K319">
        <f t="shared" si="17"/>
        <v>1.0198999998323188E-5</v>
      </c>
    </row>
    <row r="320" spans="1:11" x14ac:dyDescent="0.2">
      <c r="A320" s="1">
        <v>41593</v>
      </c>
      <c r="B320" s="2">
        <f t="shared" si="18"/>
        <v>94</v>
      </c>
      <c r="C320">
        <v>27.870800209999999</v>
      </c>
      <c r="D320">
        <v>0</v>
      </c>
      <c r="E320">
        <v>0.218437357</v>
      </c>
      <c r="F320">
        <v>26.58623785</v>
      </c>
      <c r="G320">
        <v>13.20424944</v>
      </c>
      <c r="H320">
        <v>0</v>
      </c>
      <c r="I320">
        <f t="shared" si="19"/>
        <v>27.652362853</v>
      </c>
      <c r="J320">
        <f t="shared" si="16"/>
        <v>27.870800209999999</v>
      </c>
      <c r="K320">
        <f t="shared" si="17"/>
        <v>1.0661250029999998</v>
      </c>
    </row>
    <row r="321" spans="1:11" x14ac:dyDescent="0.2">
      <c r="A321" s="1">
        <v>41594</v>
      </c>
      <c r="B321" s="2">
        <f t="shared" si="18"/>
        <v>94</v>
      </c>
      <c r="C321">
        <v>26.58623785</v>
      </c>
      <c r="D321">
        <v>0</v>
      </c>
      <c r="E321">
        <v>1.5648574790000001</v>
      </c>
      <c r="F321">
        <v>25.007239980000001</v>
      </c>
      <c r="G321">
        <v>13.121421870000001</v>
      </c>
      <c r="H321">
        <v>0</v>
      </c>
      <c r="I321">
        <f t="shared" si="19"/>
        <v>25.021380370999999</v>
      </c>
      <c r="J321">
        <f t="shared" si="16"/>
        <v>26.58623785</v>
      </c>
      <c r="K321">
        <f t="shared" si="17"/>
        <v>1.4140390999997976E-2</v>
      </c>
    </row>
    <row r="322" spans="1:11" x14ac:dyDescent="0.2">
      <c r="A322" s="1">
        <v>41595</v>
      </c>
      <c r="B322" s="2">
        <f t="shared" si="18"/>
        <v>94</v>
      </c>
      <c r="C322">
        <v>25.007239980000001</v>
      </c>
      <c r="D322">
        <v>0</v>
      </c>
      <c r="E322">
        <v>1.4258553140000001</v>
      </c>
      <c r="F322">
        <v>23.548821230000001</v>
      </c>
      <c r="G322">
        <v>13.15448323</v>
      </c>
      <c r="H322">
        <v>0</v>
      </c>
      <c r="I322">
        <f t="shared" si="19"/>
        <v>23.581384666000002</v>
      </c>
      <c r="J322">
        <f t="shared" si="16"/>
        <v>25.007239980000001</v>
      </c>
      <c r="K322">
        <f t="shared" si="17"/>
        <v>3.2563436000000223E-2</v>
      </c>
    </row>
    <row r="323" spans="1:11" x14ac:dyDescent="0.2">
      <c r="A323" s="1">
        <v>41596</v>
      </c>
      <c r="B323" s="2">
        <f t="shared" si="18"/>
        <v>94</v>
      </c>
      <c r="C323">
        <v>23.548821230000001</v>
      </c>
      <c r="D323">
        <v>0</v>
      </c>
      <c r="E323">
        <v>1.788970462</v>
      </c>
      <c r="F323">
        <v>21.38067345</v>
      </c>
      <c r="G323">
        <v>13.153525480000001</v>
      </c>
      <c r="H323">
        <v>0</v>
      </c>
      <c r="I323">
        <f t="shared" si="19"/>
        <v>21.759850768</v>
      </c>
      <c r="J323">
        <f t="shared" ref="J323:J366" si="20">C323+D323</f>
        <v>23.548821230000001</v>
      </c>
      <c r="K323">
        <f t="shared" ref="K323:K367" si="21">I323-F323</f>
        <v>0.37917731799999999</v>
      </c>
    </row>
    <row r="324" spans="1:11" x14ac:dyDescent="0.2">
      <c r="A324" s="1">
        <v>41597</v>
      </c>
      <c r="B324" s="2">
        <f t="shared" ref="B324:B366" si="22">IF(D324&gt;0,B323+1,B323)</f>
        <v>94</v>
      </c>
      <c r="C324">
        <v>21.38067345</v>
      </c>
      <c r="D324">
        <v>0</v>
      </c>
      <c r="E324">
        <v>0.68919054199999996</v>
      </c>
      <c r="F324">
        <v>20.4023556</v>
      </c>
      <c r="G324">
        <v>13.140368260000001</v>
      </c>
      <c r="H324">
        <v>0</v>
      </c>
      <c r="I324">
        <f t="shared" ref="I324:I368" si="23">C324+D324-E324</f>
        <v>20.691482908000001</v>
      </c>
      <c r="J324">
        <f t="shared" si="20"/>
        <v>21.38067345</v>
      </c>
      <c r="K324">
        <f t="shared" si="21"/>
        <v>0.28912730800000119</v>
      </c>
    </row>
    <row r="325" spans="1:11" x14ac:dyDescent="0.2">
      <c r="A325" s="1">
        <v>41598</v>
      </c>
      <c r="B325" s="2">
        <f t="shared" si="22"/>
        <v>94</v>
      </c>
      <c r="C325">
        <v>20.4023556</v>
      </c>
      <c r="D325">
        <v>0</v>
      </c>
      <c r="E325">
        <v>1.0130110379999999</v>
      </c>
      <c r="F325">
        <v>18.917037109999999</v>
      </c>
      <c r="G325">
        <v>12.05490108</v>
      </c>
      <c r="H325">
        <v>0</v>
      </c>
      <c r="I325">
        <f t="shared" si="23"/>
        <v>19.389344562000002</v>
      </c>
      <c r="J325">
        <f t="shared" si="20"/>
        <v>20.4023556</v>
      </c>
      <c r="K325">
        <f t="shared" si="21"/>
        <v>0.47230745200000257</v>
      </c>
    </row>
    <row r="326" spans="1:11" x14ac:dyDescent="0.2">
      <c r="A326" s="1">
        <v>41599</v>
      </c>
      <c r="B326" s="2">
        <f t="shared" si="22"/>
        <v>94</v>
      </c>
      <c r="C326">
        <v>18.917037109999999</v>
      </c>
      <c r="D326">
        <v>0</v>
      </c>
      <c r="E326">
        <v>1.989106869</v>
      </c>
      <c r="F326">
        <v>16.920577430000002</v>
      </c>
      <c r="G326">
        <v>13.172275519999999</v>
      </c>
      <c r="H326">
        <v>0</v>
      </c>
      <c r="I326">
        <f t="shared" si="23"/>
        <v>16.927930240999999</v>
      </c>
      <c r="J326">
        <f t="shared" si="20"/>
        <v>18.917037109999999</v>
      </c>
      <c r="K326">
        <f t="shared" si="21"/>
        <v>7.3528109999969615E-3</v>
      </c>
    </row>
    <row r="327" spans="1:11" x14ac:dyDescent="0.2">
      <c r="A327" s="1">
        <v>41600</v>
      </c>
      <c r="B327" s="2">
        <f t="shared" si="22"/>
        <v>94</v>
      </c>
      <c r="C327">
        <v>16.920577430000002</v>
      </c>
      <c r="D327">
        <v>0</v>
      </c>
      <c r="E327">
        <v>1.8399649170000001</v>
      </c>
      <c r="F327">
        <v>15.080439370000001</v>
      </c>
      <c r="G327">
        <v>13.14513679</v>
      </c>
      <c r="H327">
        <v>0</v>
      </c>
      <c r="I327">
        <f t="shared" si="23"/>
        <v>15.080612513000002</v>
      </c>
      <c r="J327">
        <f t="shared" si="20"/>
        <v>16.920577430000002</v>
      </c>
      <c r="K327">
        <f t="shared" si="21"/>
        <v>1.731430000013745E-4</v>
      </c>
    </row>
    <row r="328" spans="1:11" x14ac:dyDescent="0.2">
      <c r="A328" s="1">
        <v>41601</v>
      </c>
      <c r="B328" s="2">
        <f t="shared" si="22"/>
        <v>94</v>
      </c>
      <c r="C328">
        <v>15.080439370000001</v>
      </c>
      <c r="D328">
        <v>0</v>
      </c>
      <c r="E328">
        <v>0.83261359899999998</v>
      </c>
      <c r="F328">
        <v>14.247632400000001</v>
      </c>
      <c r="G328">
        <v>13.16183959</v>
      </c>
      <c r="H328">
        <v>0</v>
      </c>
      <c r="I328">
        <f t="shared" si="23"/>
        <v>14.247825771</v>
      </c>
      <c r="J328">
        <f t="shared" si="20"/>
        <v>15.080439370000001</v>
      </c>
      <c r="K328">
        <f t="shared" si="21"/>
        <v>1.9337099999994223E-4</v>
      </c>
    </row>
    <row r="329" spans="1:11" x14ac:dyDescent="0.2">
      <c r="A329" s="1">
        <v>41602</v>
      </c>
      <c r="B329" s="2">
        <f t="shared" si="22"/>
        <v>94</v>
      </c>
      <c r="C329">
        <v>14.247632400000001</v>
      </c>
      <c r="D329">
        <v>0</v>
      </c>
      <c r="E329">
        <v>1.7005947969999999</v>
      </c>
      <c r="F329">
        <v>11.9685834</v>
      </c>
      <c r="G329">
        <v>13.11444964</v>
      </c>
      <c r="H329">
        <v>0</v>
      </c>
      <c r="I329">
        <f t="shared" si="23"/>
        <v>12.547037603</v>
      </c>
      <c r="J329">
        <f t="shared" si="20"/>
        <v>14.247632400000001</v>
      </c>
      <c r="K329">
        <f t="shared" si="21"/>
        <v>0.57845420299999972</v>
      </c>
    </row>
    <row r="330" spans="1:11" x14ac:dyDescent="0.2">
      <c r="A330" s="1">
        <v>41603</v>
      </c>
      <c r="B330" s="2">
        <f t="shared" si="22"/>
        <v>95</v>
      </c>
      <c r="C330">
        <v>11.9685834</v>
      </c>
      <c r="D330">
        <v>23</v>
      </c>
      <c r="E330">
        <v>4.4687740399999996</v>
      </c>
      <c r="F330">
        <v>28.658457030000001</v>
      </c>
      <c r="G330">
        <v>15.20604397</v>
      </c>
      <c r="H330">
        <v>1</v>
      </c>
      <c r="I330">
        <f t="shared" si="23"/>
        <v>30.49980936</v>
      </c>
      <c r="J330">
        <f t="shared" si="20"/>
        <v>34.9685834</v>
      </c>
      <c r="K330">
        <f t="shared" si="21"/>
        <v>1.8413523299999994</v>
      </c>
    </row>
    <row r="331" spans="1:11" x14ac:dyDescent="0.2">
      <c r="A331" s="1">
        <v>41604</v>
      </c>
      <c r="B331" s="2">
        <f t="shared" si="22"/>
        <v>95</v>
      </c>
      <c r="C331">
        <v>28.658457030000001</v>
      </c>
      <c r="D331">
        <v>0</v>
      </c>
      <c r="E331">
        <v>3.5863669840000001</v>
      </c>
      <c r="F331">
        <v>24.806468339999999</v>
      </c>
      <c r="G331">
        <v>15.12112434</v>
      </c>
      <c r="H331">
        <v>1</v>
      </c>
      <c r="I331">
        <f t="shared" si="23"/>
        <v>25.072090046</v>
      </c>
      <c r="J331">
        <f t="shared" si="20"/>
        <v>28.658457030000001</v>
      </c>
      <c r="K331">
        <f t="shared" si="21"/>
        <v>0.26562170600000101</v>
      </c>
    </row>
    <row r="332" spans="1:11" x14ac:dyDescent="0.2">
      <c r="A332" s="1">
        <v>41605</v>
      </c>
      <c r="B332" s="2">
        <f t="shared" si="22"/>
        <v>95</v>
      </c>
      <c r="C332">
        <v>24.806468339999999</v>
      </c>
      <c r="D332">
        <v>0</v>
      </c>
      <c r="E332">
        <v>5.1628204000000002</v>
      </c>
      <c r="F332">
        <v>18.73037665</v>
      </c>
      <c r="G332">
        <v>15.120341099999999</v>
      </c>
      <c r="H332">
        <v>1</v>
      </c>
      <c r="I332">
        <f t="shared" si="23"/>
        <v>19.643647939999997</v>
      </c>
      <c r="J332">
        <f t="shared" si="20"/>
        <v>24.806468339999999</v>
      </c>
      <c r="K332">
        <f t="shared" si="21"/>
        <v>0.91327128999999729</v>
      </c>
    </row>
    <row r="333" spans="1:11" x14ac:dyDescent="0.2">
      <c r="A333" s="1">
        <v>41606</v>
      </c>
      <c r="B333" s="2">
        <f t="shared" si="22"/>
        <v>95</v>
      </c>
      <c r="C333">
        <v>18.73037665</v>
      </c>
      <c r="D333">
        <v>0</v>
      </c>
      <c r="E333">
        <v>3.4433169069999998</v>
      </c>
      <c r="F333">
        <v>15.10331014</v>
      </c>
      <c r="G333">
        <v>15.150316419999999</v>
      </c>
      <c r="H333">
        <v>1</v>
      </c>
      <c r="I333">
        <f t="shared" si="23"/>
        <v>15.287059743</v>
      </c>
      <c r="J333">
        <f t="shared" si="20"/>
        <v>18.73037665</v>
      </c>
      <c r="K333">
        <f t="shared" si="21"/>
        <v>0.18374960300000076</v>
      </c>
    </row>
    <row r="334" spans="1:11" x14ac:dyDescent="0.2">
      <c r="A334" s="1">
        <v>41607</v>
      </c>
      <c r="B334" s="2">
        <f t="shared" si="22"/>
        <v>96</v>
      </c>
      <c r="C334">
        <v>15.10331014</v>
      </c>
      <c r="D334">
        <v>23.8</v>
      </c>
      <c r="E334">
        <v>8.1045977320000002</v>
      </c>
      <c r="F334">
        <v>30.290481700000001</v>
      </c>
      <c r="G334">
        <v>14.339861320000001</v>
      </c>
      <c r="H334">
        <v>1</v>
      </c>
      <c r="I334">
        <f t="shared" si="23"/>
        <v>30.798712408</v>
      </c>
      <c r="J334">
        <f t="shared" si="20"/>
        <v>38.903310140000002</v>
      </c>
      <c r="K334">
        <f t="shared" si="21"/>
        <v>0.50823070799999925</v>
      </c>
    </row>
    <row r="335" spans="1:11" x14ac:dyDescent="0.2">
      <c r="A335" s="1">
        <v>41608</v>
      </c>
      <c r="B335" s="2">
        <f t="shared" si="22"/>
        <v>96</v>
      </c>
      <c r="C335">
        <v>30.290481700000001</v>
      </c>
      <c r="D335">
        <v>0</v>
      </c>
      <c r="E335">
        <v>2.982300204</v>
      </c>
      <c r="F335">
        <v>26.965099179999999</v>
      </c>
      <c r="G335">
        <v>15.159934679999999</v>
      </c>
      <c r="H335">
        <v>0</v>
      </c>
      <c r="I335">
        <f t="shared" si="23"/>
        <v>27.308181496</v>
      </c>
      <c r="J335">
        <f t="shared" si="20"/>
        <v>30.290481700000001</v>
      </c>
      <c r="K335">
        <f t="shared" si="21"/>
        <v>0.34308231600000028</v>
      </c>
    </row>
    <row r="336" spans="1:11" x14ac:dyDescent="0.2">
      <c r="A336" s="1">
        <v>41609</v>
      </c>
      <c r="B336" s="2">
        <f t="shared" si="22"/>
        <v>96</v>
      </c>
      <c r="C336">
        <v>26.965099179999999</v>
      </c>
      <c r="D336">
        <v>0</v>
      </c>
      <c r="E336">
        <v>3.4806770550000001</v>
      </c>
      <c r="F336">
        <v>23.212544340000001</v>
      </c>
      <c r="G336">
        <v>15.145054500000001</v>
      </c>
      <c r="H336">
        <v>0</v>
      </c>
      <c r="I336">
        <f t="shared" si="23"/>
        <v>23.484422124999998</v>
      </c>
      <c r="J336">
        <f t="shared" si="20"/>
        <v>26.965099179999999</v>
      </c>
      <c r="K336">
        <f t="shared" si="21"/>
        <v>0.27187778499999737</v>
      </c>
    </row>
    <row r="337" spans="1:11" x14ac:dyDescent="0.2">
      <c r="A337" s="1">
        <v>41610</v>
      </c>
      <c r="B337" s="2">
        <f t="shared" si="22"/>
        <v>96</v>
      </c>
      <c r="C337">
        <v>23.212544340000001</v>
      </c>
      <c r="D337">
        <v>0</v>
      </c>
      <c r="E337">
        <v>3.5008864850000001</v>
      </c>
      <c r="F337">
        <v>19.54853598</v>
      </c>
      <c r="G337">
        <v>15.201680079999999</v>
      </c>
      <c r="H337">
        <v>0</v>
      </c>
      <c r="I337">
        <f t="shared" si="23"/>
        <v>19.711657855000002</v>
      </c>
      <c r="J337">
        <f t="shared" si="20"/>
        <v>23.212544340000001</v>
      </c>
      <c r="K337">
        <f t="shared" si="21"/>
        <v>0.16312187500000164</v>
      </c>
    </row>
    <row r="338" spans="1:11" x14ac:dyDescent="0.2">
      <c r="A338" s="1">
        <v>41611</v>
      </c>
      <c r="B338" s="2">
        <f t="shared" si="22"/>
        <v>97</v>
      </c>
      <c r="C338">
        <v>19.54853598</v>
      </c>
      <c r="D338">
        <v>22.8</v>
      </c>
      <c r="E338">
        <v>1.725790725</v>
      </c>
      <c r="F338">
        <v>40.600469959999998</v>
      </c>
      <c r="G338">
        <v>15.197383889999999</v>
      </c>
      <c r="H338">
        <v>0</v>
      </c>
      <c r="I338">
        <f t="shared" si="23"/>
        <v>40.622745254999998</v>
      </c>
      <c r="J338">
        <f t="shared" si="20"/>
        <v>42.348535980000001</v>
      </c>
      <c r="K338">
        <f t="shared" si="21"/>
        <v>2.2275295000000028E-2</v>
      </c>
    </row>
    <row r="339" spans="1:11" x14ac:dyDescent="0.2">
      <c r="A339" s="1">
        <v>41612</v>
      </c>
      <c r="B339" s="2">
        <f t="shared" si="22"/>
        <v>97</v>
      </c>
      <c r="C339">
        <v>40.600469959999998</v>
      </c>
      <c r="D339">
        <v>0</v>
      </c>
      <c r="E339">
        <v>5.200168551</v>
      </c>
      <c r="F339">
        <v>35.39984552</v>
      </c>
      <c r="G339">
        <v>13.554804600000001</v>
      </c>
      <c r="H339">
        <v>0</v>
      </c>
      <c r="I339">
        <f t="shared" si="23"/>
        <v>35.400301409000001</v>
      </c>
      <c r="J339">
        <f t="shared" si="20"/>
        <v>40.600469959999998</v>
      </c>
      <c r="K339">
        <f t="shared" si="21"/>
        <v>4.5588900000126387E-4</v>
      </c>
    </row>
    <row r="340" spans="1:11" x14ac:dyDescent="0.2">
      <c r="A340" s="1">
        <v>41613</v>
      </c>
      <c r="B340" s="2">
        <f t="shared" si="22"/>
        <v>97</v>
      </c>
      <c r="C340">
        <v>35.39984552</v>
      </c>
      <c r="D340">
        <v>0</v>
      </c>
      <c r="E340">
        <v>4.4034451519999998</v>
      </c>
      <c r="F340">
        <v>30.940149139999999</v>
      </c>
      <c r="G340">
        <v>13.625326380000001</v>
      </c>
      <c r="H340">
        <v>0</v>
      </c>
      <c r="I340">
        <f t="shared" si="23"/>
        <v>30.996400368</v>
      </c>
      <c r="J340">
        <f t="shared" si="20"/>
        <v>35.39984552</v>
      </c>
      <c r="K340">
        <f t="shared" si="21"/>
        <v>5.6251228000000708E-2</v>
      </c>
    </row>
    <row r="341" spans="1:11" x14ac:dyDescent="0.2">
      <c r="A341" s="1">
        <v>41614</v>
      </c>
      <c r="B341" s="2">
        <f t="shared" si="22"/>
        <v>97</v>
      </c>
      <c r="C341">
        <v>30.940149139999999</v>
      </c>
      <c r="D341">
        <v>0</v>
      </c>
      <c r="E341">
        <v>3.4143362150000001</v>
      </c>
      <c r="F341">
        <v>27.525660469999998</v>
      </c>
      <c r="G341">
        <v>13.5735058</v>
      </c>
      <c r="H341">
        <v>0</v>
      </c>
      <c r="I341">
        <f t="shared" si="23"/>
        <v>27.525812925</v>
      </c>
      <c r="J341">
        <f t="shared" si="20"/>
        <v>30.940149139999999</v>
      </c>
      <c r="K341">
        <f t="shared" si="21"/>
        <v>1.524550000020497E-4</v>
      </c>
    </row>
    <row r="342" spans="1:11" x14ac:dyDescent="0.2">
      <c r="A342" s="1">
        <v>41615</v>
      </c>
      <c r="B342" s="2">
        <f t="shared" si="22"/>
        <v>98</v>
      </c>
      <c r="C342">
        <v>27.525660469999998</v>
      </c>
      <c r="D342">
        <v>4.9000000000000004</v>
      </c>
      <c r="E342">
        <v>3.5667819349999998</v>
      </c>
      <c r="F342">
        <v>28.85761218</v>
      </c>
      <c r="G342">
        <v>13.592171410000001</v>
      </c>
      <c r="H342">
        <v>0</v>
      </c>
      <c r="I342">
        <f t="shared" si="23"/>
        <v>28.858878534999995</v>
      </c>
      <c r="J342">
        <f t="shared" si="20"/>
        <v>32.425660469999997</v>
      </c>
      <c r="K342">
        <f t="shared" si="21"/>
        <v>1.2663549999949453E-3</v>
      </c>
    </row>
    <row r="343" spans="1:11" x14ac:dyDescent="0.2">
      <c r="A343" s="1">
        <v>41616</v>
      </c>
      <c r="B343" s="2">
        <f t="shared" si="22"/>
        <v>98</v>
      </c>
      <c r="C343">
        <v>28.85761218</v>
      </c>
      <c r="D343">
        <v>0</v>
      </c>
      <c r="E343">
        <v>3.9762762330000001</v>
      </c>
      <c r="F343">
        <v>24.608456749999998</v>
      </c>
      <c r="G343">
        <v>13.607099180000001</v>
      </c>
      <c r="H343">
        <v>0</v>
      </c>
      <c r="I343">
        <f t="shared" si="23"/>
        <v>24.881335947</v>
      </c>
      <c r="J343">
        <f t="shared" si="20"/>
        <v>28.85761218</v>
      </c>
      <c r="K343">
        <f t="shared" si="21"/>
        <v>0.27287919700000174</v>
      </c>
    </row>
    <row r="344" spans="1:11" x14ac:dyDescent="0.2">
      <c r="A344" s="1">
        <v>41617</v>
      </c>
      <c r="B344" s="2">
        <f t="shared" si="22"/>
        <v>98</v>
      </c>
      <c r="C344">
        <v>24.608456749999998</v>
      </c>
      <c r="D344">
        <v>0</v>
      </c>
      <c r="E344">
        <v>2.82810417</v>
      </c>
      <c r="F344">
        <v>21.222032810000002</v>
      </c>
      <c r="G344">
        <v>13.64835199</v>
      </c>
      <c r="H344">
        <v>0</v>
      </c>
      <c r="I344">
        <f t="shared" si="23"/>
        <v>21.780352579999999</v>
      </c>
      <c r="J344">
        <f t="shared" si="20"/>
        <v>24.608456749999998</v>
      </c>
      <c r="K344">
        <f t="shared" si="21"/>
        <v>0.55831976999999711</v>
      </c>
    </row>
    <row r="345" spans="1:11" x14ac:dyDescent="0.2">
      <c r="A345" s="1">
        <v>41618</v>
      </c>
      <c r="B345" s="2">
        <f t="shared" si="22"/>
        <v>98</v>
      </c>
      <c r="C345">
        <v>21.222032810000002</v>
      </c>
      <c r="D345">
        <v>0</v>
      </c>
      <c r="E345">
        <v>1.530963114</v>
      </c>
      <c r="F345">
        <v>19.114010709999999</v>
      </c>
      <c r="G345">
        <v>13.597795339999999</v>
      </c>
      <c r="H345">
        <v>0</v>
      </c>
      <c r="I345">
        <f t="shared" si="23"/>
        <v>19.691069696000003</v>
      </c>
      <c r="J345">
        <f t="shared" si="20"/>
        <v>21.222032810000002</v>
      </c>
      <c r="K345">
        <f t="shared" si="21"/>
        <v>0.57705898600000438</v>
      </c>
    </row>
    <row r="346" spans="1:11" x14ac:dyDescent="0.2">
      <c r="A346" s="1">
        <v>41619</v>
      </c>
      <c r="B346" s="2">
        <f t="shared" si="22"/>
        <v>98</v>
      </c>
      <c r="C346">
        <v>19.114010709999999</v>
      </c>
      <c r="D346">
        <v>0</v>
      </c>
      <c r="E346">
        <v>4.080655922</v>
      </c>
      <c r="F346">
        <v>14.740791509999999</v>
      </c>
      <c r="G346">
        <v>13.6500623</v>
      </c>
      <c r="H346">
        <v>0</v>
      </c>
      <c r="I346">
        <f t="shared" si="23"/>
        <v>15.033354787999999</v>
      </c>
      <c r="J346">
        <f t="shared" si="20"/>
        <v>19.114010709999999</v>
      </c>
      <c r="K346">
        <f t="shared" si="21"/>
        <v>0.29256327799999937</v>
      </c>
    </row>
    <row r="347" spans="1:11" x14ac:dyDescent="0.2">
      <c r="A347" s="1">
        <v>41620</v>
      </c>
      <c r="B347" s="2">
        <f t="shared" si="22"/>
        <v>98</v>
      </c>
      <c r="C347">
        <v>14.740791509999999</v>
      </c>
      <c r="D347">
        <v>0</v>
      </c>
      <c r="E347">
        <v>1.1531685970000001</v>
      </c>
      <c r="F347">
        <v>13.5825642</v>
      </c>
      <c r="G347">
        <v>13.5752583</v>
      </c>
      <c r="H347">
        <v>0</v>
      </c>
      <c r="I347">
        <f t="shared" si="23"/>
        <v>13.587622912999999</v>
      </c>
      <c r="J347">
        <f t="shared" si="20"/>
        <v>14.740791509999999</v>
      </c>
      <c r="K347">
        <f t="shared" si="21"/>
        <v>5.0587129999986047E-3</v>
      </c>
    </row>
    <row r="348" spans="1:11" x14ac:dyDescent="0.2">
      <c r="A348" s="1">
        <v>41621</v>
      </c>
      <c r="B348" s="2">
        <f t="shared" si="22"/>
        <v>98</v>
      </c>
      <c r="C348">
        <v>13.5825642</v>
      </c>
      <c r="D348">
        <v>0</v>
      </c>
      <c r="E348">
        <v>5.0167685630000003</v>
      </c>
      <c r="F348">
        <v>8.0764078940000008</v>
      </c>
      <c r="G348">
        <v>13.6248071</v>
      </c>
      <c r="H348">
        <v>0</v>
      </c>
      <c r="I348">
        <f t="shared" si="23"/>
        <v>8.5657956370000008</v>
      </c>
      <c r="J348">
        <f t="shared" si="20"/>
        <v>13.5825642</v>
      </c>
      <c r="K348">
        <f t="shared" si="21"/>
        <v>0.48938774299999999</v>
      </c>
    </row>
    <row r="349" spans="1:11" x14ac:dyDescent="0.2">
      <c r="A349" s="1">
        <v>41622</v>
      </c>
      <c r="B349" s="2">
        <f t="shared" si="22"/>
        <v>98</v>
      </c>
      <c r="C349">
        <v>8.0764078940000008</v>
      </c>
      <c r="D349">
        <v>0</v>
      </c>
      <c r="E349">
        <v>3.1788524759999999</v>
      </c>
      <c r="F349">
        <v>4.896344934</v>
      </c>
      <c r="G349">
        <v>12.32046308</v>
      </c>
      <c r="H349">
        <v>0</v>
      </c>
      <c r="I349">
        <f t="shared" si="23"/>
        <v>4.8975554180000014</v>
      </c>
      <c r="J349">
        <f t="shared" si="20"/>
        <v>8.0764078940000008</v>
      </c>
      <c r="K349">
        <f t="shared" si="21"/>
        <v>1.2104840000013439E-3</v>
      </c>
    </row>
    <row r="350" spans="1:11" x14ac:dyDescent="0.2">
      <c r="A350" s="1">
        <v>41623</v>
      </c>
      <c r="B350" s="2">
        <f t="shared" si="22"/>
        <v>99</v>
      </c>
      <c r="C350">
        <v>4.896344934</v>
      </c>
      <c r="D350">
        <v>23.8</v>
      </c>
      <c r="E350">
        <v>2.630590931</v>
      </c>
      <c r="F350">
        <v>25.990243240000002</v>
      </c>
      <c r="G350">
        <v>13.60573645</v>
      </c>
      <c r="H350">
        <v>0</v>
      </c>
      <c r="I350">
        <f t="shared" si="23"/>
        <v>26.065754003000002</v>
      </c>
      <c r="J350">
        <f t="shared" si="20"/>
        <v>28.696344934000003</v>
      </c>
      <c r="K350">
        <f t="shared" si="21"/>
        <v>7.551076300000048E-2</v>
      </c>
    </row>
    <row r="351" spans="1:11" x14ac:dyDescent="0.2">
      <c r="A351" s="1">
        <v>41624</v>
      </c>
      <c r="B351" s="2">
        <f t="shared" si="22"/>
        <v>99</v>
      </c>
      <c r="C351">
        <v>25.990243240000002</v>
      </c>
      <c r="D351">
        <v>0</v>
      </c>
      <c r="E351">
        <v>1.8968742940000001</v>
      </c>
      <c r="F351">
        <v>23.456038809999999</v>
      </c>
      <c r="G351">
        <v>13.622752070000001</v>
      </c>
      <c r="H351">
        <v>0</v>
      </c>
      <c r="I351">
        <f t="shared" si="23"/>
        <v>24.093368946000002</v>
      </c>
      <c r="J351">
        <f t="shared" si="20"/>
        <v>25.990243240000002</v>
      </c>
      <c r="K351">
        <f t="shared" si="21"/>
        <v>0.63733013600000277</v>
      </c>
    </row>
    <row r="352" spans="1:11" x14ac:dyDescent="0.2">
      <c r="A352" s="1">
        <v>41625</v>
      </c>
      <c r="B352" s="2">
        <f t="shared" si="22"/>
        <v>100</v>
      </c>
      <c r="C352">
        <v>23.456038809999999</v>
      </c>
      <c r="D352">
        <v>23.5</v>
      </c>
      <c r="E352">
        <v>4.7300080930000004</v>
      </c>
      <c r="F352">
        <v>41.586796489999998</v>
      </c>
      <c r="G352">
        <v>13.618848529999999</v>
      </c>
      <c r="H352">
        <v>0</v>
      </c>
      <c r="I352">
        <f t="shared" si="23"/>
        <v>42.226030716999993</v>
      </c>
      <c r="J352">
        <f t="shared" si="20"/>
        <v>46.956038809999995</v>
      </c>
      <c r="K352">
        <f t="shared" si="21"/>
        <v>0.63923422699999577</v>
      </c>
    </row>
    <row r="353" spans="1:11" x14ac:dyDescent="0.2">
      <c r="A353" s="1">
        <v>41626</v>
      </c>
      <c r="B353" s="2">
        <f t="shared" si="22"/>
        <v>100</v>
      </c>
      <c r="C353">
        <v>41.586796489999998</v>
      </c>
      <c r="D353">
        <v>0</v>
      </c>
      <c r="E353">
        <v>2.669628511</v>
      </c>
      <c r="F353">
        <v>38.772290460000001</v>
      </c>
      <c r="G353">
        <v>13.564502470000001</v>
      </c>
      <c r="H353">
        <v>0</v>
      </c>
      <c r="I353">
        <f t="shared" si="23"/>
        <v>38.917167978999998</v>
      </c>
      <c r="J353">
        <f t="shared" si="20"/>
        <v>41.586796489999998</v>
      </c>
      <c r="K353">
        <f t="shared" si="21"/>
        <v>0.14487751899999779</v>
      </c>
    </row>
    <row r="354" spans="1:11" x14ac:dyDescent="0.2">
      <c r="A354" s="1">
        <v>41627</v>
      </c>
      <c r="B354" s="2">
        <f t="shared" si="22"/>
        <v>100</v>
      </c>
      <c r="C354">
        <v>38.772290460000001</v>
      </c>
      <c r="D354">
        <v>0</v>
      </c>
      <c r="E354">
        <v>4.0734313440000003</v>
      </c>
      <c r="F354">
        <v>34.685594090000002</v>
      </c>
      <c r="G354">
        <v>13.56624935</v>
      </c>
      <c r="H354">
        <v>0</v>
      </c>
      <c r="I354">
        <f t="shared" si="23"/>
        <v>34.698859116000001</v>
      </c>
      <c r="J354">
        <f t="shared" si="20"/>
        <v>38.772290460000001</v>
      </c>
      <c r="K354">
        <f t="shared" si="21"/>
        <v>1.3265025999999125E-2</v>
      </c>
    </row>
    <row r="355" spans="1:11" x14ac:dyDescent="0.2">
      <c r="A355" s="1">
        <v>41628</v>
      </c>
      <c r="B355" s="2">
        <f t="shared" si="22"/>
        <v>100</v>
      </c>
      <c r="C355">
        <v>34.685594090000002</v>
      </c>
      <c r="D355">
        <v>0</v>
      </c>
      <c r="E355">
        <v>6.9590799529999998</v>
      </c>
      <c r="F355">
        <v>27.720896740000001</v>
      </c>
      <c r="G355">
        <v>13.652135250000001</v>
      </c>
      <c r="H355">
        <v>1</v>
      </c>
      <c r="I355">
        <f t="shared" si="23"/>
        <v>27.726514137000002</v>
      </c>
      <c r="J355">
        <f t="shared" si="20"/>
        <v>34.685594090000002</v>
      </c>
      <c r="K355">
        <f t="shared" si="21"/>
        <v>5.6173970000017448E-3</v>
      </c>
    </row>
    <row r="356" spans="1:11" x14ac:dyDescent="0.2">
      <c r="A356" s="1">
        <v>41629</v>
      </c>
      <c r="B356" s="2">
        <f t="shared" si="22"/>
        <v>101</v>
      </c>
      <c r="C356">
        <v>27.720896740000001</v>
      </c>
      <c r="D356">
        <v>23.7</v>
      </c>
      <c r="E356">
        <v>6.2277798390000001</v>
      </c>
      <c r="F356">
        <v>44.810770529999999</v>
      </c>
      <c r="G356">
        <v>13.566660450000001</v>
      </c>
      <c r="H356">
        <v>1</v>
      </c>
      <c r="I356">
        <f t="shared" si="23"/>
        <v>45.193116901000003</v>
      </c>
      <c r="J356">
        <f t="shared" si="20"/>
        <v>51.420896740000003</v>
      </c>
      <c r="K356">
        <f t="shared" si="21"/>
        <v>0.38234637100000413</v>
      </c>
    </row>
    <row r="357" spans="1:11" x14ac:dyDescent="0.2">
      <c r="A357" s="1">
        <v>41630</v>
      </c>
      <c r="B357" s="2">
        <f t="shared" si="22"/>
        <v>101</v>
      </c>
      <c r="C357">
        <v>44.810770529999999</v>
      </c>
      <c r="D357">
        <v>0</v>
      </c>
      <c r="E357">
        <v>9.2563730750000008</v>
      </c>
      <c r="F357">
        <v>35.551790390000001</v>
      </c>
      <c r="G357">
        <v>13.55104603</v>
      </c>
      <c r="H357">
        <v>1</v>
      </c>
      <c r="I357">
        <f t="shared" si="23"/>
        <v>35.554397455</v>
      </c>
      <c r="J357">
        <f t="shared" si="20"/>
        <v>44.810770529999999</v>
      </c>
      <c r="K357">
        <f t="shared" si="21"/>
        <v>2.6070649999994089E-3</v>
      </c>
    </row>
    <row r="358" spans="1:11" x14ac:dyDescent="0.2">
      <c r="A358" s="1">
        <v>41631</v>
      </c>
      <c r="B358" s="2">
        <f t="shared" si="22"/>
        <v>101</v>
      </c>
      <c r="C358">
        <v>35.551790390000001</v>
      </c>
      <c r="D358">
        <v>0</v>
      </c>
      <c r="E358">
        <v>3.353795598</v>
      </c>
      <c r="F358">
        <v>31.523579130000002</v>
      </c>
      <c r="G358">
        <v>13.605643519999999</v>
      </c>
      <c r="H358">
        <v>0</v>
      </c>
      <c r="I358">
        <f t="shared" si="23"/>
        <v>32.197994792000003</v>
      </c>
      <c r="J358">
        <f t="shared" si="20"/>
        <v>35.551790390000001</v>
      </c>
      <c r="K358">
        <f t="shared" si="21"/>
        <v>0.67441566200000125</v>
      </c>
    </row>
    <row r="359" spans="1:11" x14ac:dyDescent="0.2">
      <c r="A359" s="1">
        <v>41632</v>
      </c>
      <c r="B359" s="2">
        <f t="shared" si="22"/>
        <v>101</v>
      </c>
      <c r="C359">
        <v>31.523579130000002</v>
      </c>
      <c r="D359">
        <v>0</v>
      </c>
      <c r="E359">
        <v>3.6382725539999998</v>
      </c>
      <c r="F359">
        <v>27.881393679999999</v>
      </c>
      <c r="G359">
        <v>13.63621483</v>
      </c>
      <c r="H359">
        <v>0</v>
      </c>
      <c r="I359">
        <f t="shared" si="23"/>
        <v>27.885306576000001</v>
      </c>
      <c r="J359">
        <f t="shared" si="20"/>
        <v>31.523579130000002</v>
      </c>
      <c r="K359">
        <f t="shared" si="21"/>
        <v>3.9128960000027746E-3</v>
      </c>
    </row>
    <row r="360" spans="1:11" x14ac:dyDescent="0.2">
      <c r="A360" s="1">
        <v>41633</v>
      </c>
      <c r="B360" s="2">
        <f t="shared" si="22"/>
        <v>102</v>
      </c>
      <c r="C360">
        <v>27.881393679999999</v>
      </c>
      <c r="D360">
        <v>22.8</v>
      </c>
      <c r="E360">
        <v>4.1799073179999997</v>
      </c>
      <c r="F360">
        <v>46.43260274</v>
      </c>
      <c r="G360">
        <v>13.612235370000001</v>
      </c>
      <c r="H360">
        <v>0</v>
      </c>
      <c r="I360">
        <f t="shared" si="23"/>
        <v>46.501486362000001</v>
      </c>
      <c r="J360">
        <f t="shared" si="20"/>
        <v>50.681393679999999</v>
      </c>
      <c r="K360">
        <f t="shared" si="21"/>
        <v>6.888362200000131E-2</v>
      </c>
    </row>
    <row r="361" spans="1:11" x14ac:dyDescent="0.2">
      <c r="A361" s="1">
        <v>41634</v>
      </c>
      <c r="B361" s="2">
        <f t="shared" si="22"/>
        <v>102</v>
      </c>
      <c r="C361">
        <v>46.43260274</v>
      </c>
      <c r="D361">
        <v>0</v>
      </c>
      <c r="E361">
        <v>2.5351819990000002</v>
      </c>
      <c r="F361">
        <v>43.870348249999999</v>
      </c>
      <c r="G361">
        <v>13.566506929999999</v>
      </c>
      <c r="H361">
        <v>0</v>
      </c>
      <c r="I361">
        <f t="shared" si="23"/>
        <v>43.897420740999998</v>
      </c>
      <c r="J361">
        <f t="shared" si="20"/>
        <v>46.43260274</v>
      </c>
      <c r="K361">
        <f t="shared" si="21"/>
        <v>2.7072490999998422E-2</v>
      </c>
    </row>
    <row r="362" spans="1:11" x14ac:dyDescent="0.2">
      <c r="A362" s="1">
        <v>41635</v>
      </c>
      <c r="B362" s="2">
        <f t="shared" si="22"/>
        <v>102</v>
      </c>
      <c r="C362">
        <v>43.870348249999999</v>
      </c>
      <c r="D362">
        <v>0</v>
      </c>
      <c r="E362">
        <v>2.8874960019999998</v>
      </c>
      <c r="F362">
        <v>39.531290050000003</v>
      </c>
      <c r="G362">
        <v>12.48515692</v>
      </c>
      <c r="H362">
        <v>0</v>
      </c>
      <c r="I362">
        <f t="shared" si="23"/>
        <v>40.982852248</v>
      </c>
      <c r="J362">
        <f t="shared" si="20"/>
        <v>43.870348249999999</v>
      </c>
      <c r="K362">
        <f t="shared" si="21"/>
        <v>1.4515621979999977</v>
      </c>
    </row>
    <row r="363" spans="1:11" x14ac:dyDescent="0.2">
      <c r="A363" s="1">
        <v>41636</v>
      </c>
      <c r="B363" s="2">
        <f t="shared" si="22"/>
        <v>102</v>
      </c>
      <c r="C363">
        <v>39.531290050000003</v>
      </c>
      <c r="D363">
        <v>0</v>
      </c>
      <c r="E363">
        <v>2.8133479139999999</v>
      </c>
      <c r="F363">
        <v>36.012374970000003</v>
      </c>
      <c r="G363">
        <v>13.954109020000001</v>
      </c>
      <c r="H363">
        <v>0</v>
      </c>
      <c r="I363">
        <f t="shared" si="23"/>
        <v>36.717942136000005</v>
      </c>
      <c r="J363">
        <f t="shared" si="20"/>
        <v>39.531290050000003</v>
      </c>
      <c r="K363">
        <f t="shared" si="21"/>
        <v>0.70556716600000158</v>
      </c>
    </row>
    <row r="364" spans="1:11" x14ac:dyDescent="0.2">
      <c r="A364" s="1">
        <v>41637</v>
      </c>
      <c r="B364" s="2">
        <f t="shared" si="22"/>
        <v>102</v>
      </c>
      <c r="C364">
        <v>36.012374970000003</v>
      </c>
      <c r="D364">
        <v>0</v>
      </c>
      <c r="E364">
        <v>2.6495438569999998</v>
      </c>
      <c r="F364">
        <v>33.129278669999998</v>
      </c>
      <c r="G364">
        <v>14.01290455</v>
      </c>
      <c r="H364">
        <v>0</v>
      </c>
      <c r="I364">
        <f t="shared" si="23"/>
        <v>33.362831113000006</v>
      </c>
      <c r="J364">
        <f t="shared" si="20"/>
        <v>36.012374970000003</v>
      </c>
      <c r="K364">
        <f t="shared" si="21"/>
        <v>0.23355244300000777</v>
      </c>
    </row>
    <row r="365" spans="1:11" x14ac:dyDescent="0.2">
      <c r="A365" s="1">
        <v>41638</v>
      </c>
      <c r="B365" s="2">
        <f t="shared" si="22"/>
        <v>102</v>
      </c>
      <c r="C365">
        <v>33.129278669999998</v>
      </c>
      <c r="D365">
        <v>0</v>
      </c>
      <c r="E365">
        <v>4.0138088119999997</v>
      </c>
      <c r="F365">
        <v>28.947812590000002</v>
      </c>
      <c r="G365">
        <v>13.928658909999999</v>
      </c>
      <c r="H365">
        <v>0</v>
      </c>
      <c r="I365">
        <f t="shared" si="23"/>
        <v>29.115469857999997</v>
      </c>
      <c r="J365">
        <f t="shared" si="20"/>
        <v>33.129278669999998</v>
      </c>
      <c r="K365">
        <f t="shared" si="21"/>
        <v>0.1676572679999957</v>
      </c>
    </row>
    <row r="366" spans="1:11" x14ac:dyDescent="0.2">
      <c r="A366" s="1">
        <v>41639</v>
      </c>
      <c r="B366" s="2">
        <f t="shared" si="22"/>
        <v>102</v>
      </c>
      <c r="C366">
        <v>28.947812590000002</v>
      </c>
      <c r="D366">
        <v>0</v>
      </c>
      <c r="E366">
        <v>1.847838402</v>
      </c>
      <c r="F366">
        <v>25.637969120000001</v>
      </c>
      <c r="G366">
        <v>13.997917429999999</v>
      </c>
      <c r="H366">
        <v>0</v>
      </c>
      <c r="I366">
        <f t="shared" si="23"/>
        <v>27.099974188000001</v>
      </c>
      <c r="J366">
        <f t="shared" si="20"/>
        <v>28.947812590000002</v>
      </c>
      <c r="K366">
        <f t="shared" si="21"/>
        <v>1.4620050679999999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17065-9CA6-D84C-9E13-455B184C7295}">
  <dimension ref="A1:G103"/>
  <sheetViews>
    <sheetView tabSelected="1" workbookViewId="0">
      <selection activeCell="D2" sqref="D2"/>
    </sheetView>
  </sheetViews>
  <sheetFormatPr baseColWidth="10" defaultRowHeight="16" x14ac:dyDescent="0.2"/>
  <sheetData>
    <row r="1" spans="1:7" x14ac:dyDescent="0.2">
      <c r="A1" t="s">
        <v>15</v>
      </c>
      <c r="B1" t="s">
        <v>18</v>
      </c>
      <c r="C1" t="s">
        <v>19</v>
      </c>
      <c r="D1" t="s">
        <v>20</v>
      </c>
    </row>
    <row r="2" spans="1:7" x14ac:dyDescent="0.2">
      <c r="A2">
        <v>1</v>
      </c>
      <c r="B2">
        <v>28.362150790000001</v>
      </c>
      <c r="C2">
        <v>3.1645283540000007</v>
      </c>
      <c r="D2">
        <v>6</v>
      </c>
      <c r="E2">
        <f>1-((B2-C2)/B2)^(1/(D2))</f>
        <v>1.9524527764015476E-2</v>
      </c>
      <c r="G2">
        <f>AVERAGE(E:E)</f>
        <v>1.3154053839329445E-2</v>
      </c>
    </row>
    <row r="3" spans="1:7" x14ac:dyDescent="0.2">
      <c r="A3">
        <v>2</v>
      </c>
      <c r="B3">
        <v>5.8595306479999998</v>
      </c>
      <c r="C3">
        <v>0.120046665</v>
      </c>
      <c r="D3">
        <v>4</v>
      </c>
      <c r="E3">
        <f t="shared" ref="E3:E66" si="0">1-((B3-C3)/B3)^(1/(D3))</f>
        <v>5.1616820812513398E-3</v>
      </c>
    </row>
    <row r="4" spans="1:7" x14ac:dyDescent="0.2">
      <c r="A4">
        <v>3</v>
      </c>
      <c r="B4">
        <v>19.287140910000002</v>
      </c>
      <c r="C4">
        <v>0.98245102000000006</v>
      </c>
      <c r="D4">
        <v>6</v>
      </c>
      <c r="E4">
        <f t="shared" si="0"/>
        <v>8.6756961557442613E-3</v>
      </c>
      <c r="G4">
        <f>MEDIAN(E:E)</f>
        <v>7.5400125964912301E-3</v>
      </c>
    </row>
    <row r="5" spans="1:7" x14ac:dyDescent="0.2">
      <c r="A5">
        <v>4</v>
      </c>
      <c r="B5">
        <v>20.268358490000001</v>
      </c>
      <c r="C5">
        <v>0.94012927300000371</v>
      </c>
      <c r="D5">
        <v>6</v>
      </c>
      <c r="E5">
        <f t="shared" si="0"/>
        <v>7.8844688806369856E-3</v>
      </c>
    </row>
    <row r="6" spans="1:7" x14ac:dyDescent="0.2">
      <c r="A6">
        <v>5</v>
      </c>
      <c r="B6">
        <v>24.757358060000001</v>
      </c>
      <c r="C6">
        <v>1.5288294620000027</v>
      </c>
      <c r="D6">
        <v>6</v>
      </c>
      <c r="E6">
        <f t="shared" si="0"/>
        <v>1.0567358309857666E-2</v>
      </c>
    </row>
    <row r="7" spans="1:7" x14ac:dyDescent="0.2">
      <c r="A7">
        <v>6</v>
      </c>
      <c r="B7">
        <v>22.821703729999999</v>
      </c>
      <c r="C7">
        <v>1.8571945560000032</v>
      </c>
      <c r="D7">
        <v>5</v>
      </c>
      <c r="E7">
        <f t="shared" si="0"/>
        <v>1.6832922656300098E-2</v>
      </c>
    </row>
    <row r="8" spans="1:7" x14ac:dyDescent="0.2">
      <c r="A8">
        <v>7</v>
      </c>
      <c r="B8">
        <v>18.69548181</v>
      </c>
      <c r="C8">
        <v>0.13783599299999949</v>
      </c>
      <c r="D8">
        <v>4</v>
      </c>
      <c r="E8">
        <f t="shared" si="0"/>
        <v>1.8482904715667603E-3</v>
      </c>
    </row>
    <row r="9" spans="1:7" x14ac:dyDescent="0.2">
      <c r="A9">
        <v>8</v>
      </c>
      <c r="B9">
        <v>51.318500700000001</v>
      </c>
      <c r="C9">
        <v>3.745288549000005</v>
      </c>
      <c r="D9">
        <v>13</v>
      </c>
      <c r="E9">
        <f t="shared" si="0"/>
        <v>5.8123878477945867E-3</v>
      </c>
    </row>
    <row r="10" spans="1:7" x14ac:dyDescent="0.2">
      <c r="A10">
        <v>9</v>
      </c>
      <c r="B10">
        <v>13.170838460000001</v>
      </c>
      <c r="C10">
        <v>0.234480778</v>
      </c>
      <c r="D10">
        <v>2</v>
      </c>
      <c r="E10">
        <f t="shared" si="0"/>
        <v>8.9414880455753742E-3</v>
      </c>
    </row>
    <row r="11" spans="1:7" x14ac:dyDescent="0.2">
      <c r="A11">
        <v>10</v>
      </c>
      <c r="B11">
        <v>20.37669481</v>
      </c>
      <c r="C11">
        <v>0.1779029660000031</v>
      </c>
      <c r="D11">
        <v>5</v>
      </c>
      <c r="E11">
        <f t="shared" si="0"/>
        <v>1.7522716983567888E-3</v>
      </c>
    </row>
    <row r="12" spans="1:7" x14ac:dyDescent="0.2">
      <c r="A12">
        <v>11</v>
      </c>
      <c r="B12">
        <v>26.587999809999999</v>
      </c>
      <c r="C12">
        <v>2.5097880560000014</v>
      </c>
      <c r="D12">
        <v>4</v>
      </c>
      <c r="E12">
        <f t="shared" si="0"/>
        <v>2.4483452546314788E-2</v>
      </c>
    </row>
    <row r="13" spans="1:7" x14ac:dyDescent="0.2">
      <c r="A13">
        <v>12</v>
      </c>
      <c r="B13">
        <v>24.975026939999999</v>
      </c>
      <c r="C13">
        <v>1.3682209830000041</v>
      </c>
      <c r="D13">
        <v>3</v>
      </c>
      <c r="E13">
        <f t="shared" si="0"/>
        <v>1.8605194461049357E-2</v>
      </c>
    </row>
    <row r="14" spans="1:7" x14ac:dyDescent="0.2">
      <c r="A14">
        <v>13</v>
      </c>
      <c r="B14">
        <v>30.02147707</v>
      </c>
      <c r="C14">
        <v>1.8236914340000006</v>
      </c>
      <c r="D14">
        <v>10</v>
      </c>
      <c r="E14">
        <f t="shared" si="0"/>
        <v>6.2473612333774353E-3</v>
      </c>
    </row>
    <row r="15" spans="1:7" x14ac:dyDescent="0.2">
      <c r="A15">
        <v>14</v>
      </c>
      <c r="B15">
        <v>9.6718711339999999</v>
      </c>
      <c r="C15">
        <v>0.14132600200000089</v>
      </c>
      <c r="D15">
        <v>3</v>
      </c>
      <c r="E15">
        <f t="shared" si="0"/>
        <v>4.894606150995906E-3</v>
      </c>
    </row>
    <row r="16" spans="1:7" x14ac:dyDescent="0.2">
      <c r="A16">
        <v>15</v>
      </c>
      <c r="B16">
        <v>16.531203959999999</v>
      </c>
      <c r="C16">
        <v>0.5129776349999986</v>
      </c>
      <c r="D16">
        <v>4</v>
      </c>
      <c r="E16">
        <f t="shared" si="0"/>
        <v>7.849660437660666E-3</v>
      </c>
    </row>
    <row r="17" spans="1:5" x14ac:dyDescent="0.2">
      <c r="A17">
        <v>16</v>
      </c>
      <c r="B17">
        <v>16.768868560000001</v>
      </c>
      <c r="C17">
        <v>1.1558481169999997</v>
      </c>
      <c r="D17">
        <v>4</v>
      </c>
      <c r="E17">
        <f t="shared" si="0"/>
        <v>1.7696272739045615E-2</v>
      </c>
    </row>
    <row r="18" spans="1:5" x14ac:dyDescent="0.2">
      <c r="A18">
        <v>17</v>
      </c>
      <c r="B18">
        <v>16.214856730000001</v>
      </c>
      <c r="C18">
        <v>0.87124478500000357</v>
      </c>
      <c r="D18">
        <v>5</v>
      </c>
      <c r="E18">
        <f t="shared" si="0"/>
        <v>1.0984955177483102E-2</v>
      </c>
    </row>
    <row r="19" spans="1:5" x14ac:dyDescent="0.2">
      <c r="A19">
        <v>18</v>
      </c>
      <c r="B19">
        <v>19.74047977</v>
      </c>
      <c r="C19">
        <v>0.24392114499999717</v>
      </c>
      <c r="D19">
        <v>6</v>
      </c>
      <c r="E19">
        <f t="shared" si="0"/>
        <v>2.0700825745395557E-3</v>
      </c>
    </row>
    <row r="20" spans="1:5" x14ac:dyDescent="0.2">
      <c r="A20">
        <v>19</v>
      </c>
      <c r="B20">
        <v>12.61840421</v>
      </c>
      <c r="C20">
        <v>0.20112577000000087</v>
      </c>
      <c r="D20">
        <v>3</v>
      </c>
      <c r="E20">
        <f t="shared" si="0"/>
        <v>5.3415079915350994E-3</v>
      </c>
    </row>
    <row r="21" spans="1:5" x14ac:dyDescent="0.2">
      <c r="A21">
        <v>20</v>
      </c>
      <c r="B21">
        <v>19.085602919999999</v>
      </c>
      <c r="C21">
        <v>4.5411689999994564E-3</v>
      </c>
      <c r="D21">
        <v>2</v>
      </c>
      <c r="E21">
        <f t="shared" si="0"/>
        <v>1.1897552252038146E-4</v>
      </c>
    </row>
    <row r="22" spans="1:5" x14ac:dyDescent="0.2">
      <c r="A22">
        <v>21</v>
      </c>
      <c r="B22">
        <v>12.50841031</v>
      </c>
      <c r="C22">
        <v>0.84300952600000301</v>
      </c>
      <c r="D22">
        <v>1</v>
      </c>
      <c r="E22">
        <f t="shared" si="0"/>
        <v>6.739541677218952E-2</v>
      </c>
    </row>
    <row r="23" spans="1:5" x14ac:dyDescent="0.2">
      <c r="A23">
        <v>22</v>
      </c>
      <c r="B23">
        <v>20.343002989999999</v>
      </c>
      <c r="C23">
        <v>2.0111649419999971</v>
      </c>
      <c r="D23">
        <v>2</v>
      </c>
      <c r="E23">
        <f t="shared" si="0"/>
        <v>5.0717500630563905E-2</v>
      </c>
    </row>
    <row r="24" spans="1:5" x14ac:dyDescent="0.2">
      <c r="A24">
        <v>23</v>
      </c>
      <c r="B24">
        <v>29.00742687</v>
      </c>
      <c r="C24">
        <v>0.7459585730000029</v>
      </c>
      <c r="D24">
        <v>3</v>
      </c>
      <c r="E24">
        <f t="shared" si="0"/>
        <v>8.6465892021112545E-3</v>
      </c>
    </row>
    <row r="25" spans="1:5" x14ac:dyDescent="0.2">
      <c r="A25">
        <v>24</v>
      </c>
      <c r="B25">
        <v>37.03527364</v>
      </c>
      <c r="C25">
        <v>2.6507984570000058</v>
      </c>
      <c r="D25">
        <v>4</v>
      </c>
      <c r="E25">
        <f t="shared" si="0"/>
        <v>1.83951160593262E-2</v>
      </c>
    </row>
    <row r="26" spans="1:5" x14ac:dyDescent="0.2">
      <c r="A26">
        <v>25</v>
      </c>
      <c r="B26">
        <v>36.836787989999998</v>
      </c>
      <c r="C26">
        <v>2.8073278419999994</v>
      </c>
      <c r="D26">
        <v>5</v>
      </c>
      <c r="E26">
        <f t="shared" si="0"/>
        <v>1.5729064641894053E-2</v>
      </c>
    </row>
    <row r="27" spans="1:5" x14ac:dyDescent="0.2">
      <c r="A27">
        <v>26</v>
      </c>
      <c r="B27">
        <v>29.613084600000001</v>
      </c>
      <c r="C27">
        <v>1.0800089530000054</v>
      </c>
      <c r="D27">
        <v>8</v>
      </c>
      <c r="E27">
        <f t="shared" si="0"/>
        <v>4.6332765511729601E-3</v>
      </c>
    </row>
    <row r="28" spans="1:5" x14ac:dyDescent="0.2">
      <c r="A28">
        <v>27</v>
      </c>
      <c r="B28">
        <v>27.062277470000002</v>
      </c>
      <c r="C28">
        <v>1.9727671790000016</v>
      </c>
      <c r="D28">
        <v>8</v>
      </c>
      <c r="E28">
        <f t="shared" si="0"/>
        <v>9.4167496902077819E-3</v>
      </c>
    </row>
    <row r="29" spans="1:5" x14ac:dyDescent="0.2">
      <c r="A29">
        <v>28</v>
      </c>
      <c r="B29">
        <v>20.055696900000001</v>
      </c>
      <c r="C29">
        <v>0.72869709800000138</v>
      </c>
      <c r="D29">
        <v>3</v>
      </c>
      <c r="E29">
        <f t="shared" si="0"/>
        <v>1.2260940003841148E-2</v>
      </c>
    </row>
    <row r="30" spans="1:5" x14ac:dyDescent="0.2">
      <c r="A30">
        <v>29</v>
      </c>
      <c r="B30">
        <v>18.150132079999999</v>
      </c>
      <c r="C30">
        <v>1.5502797509999979</v>
      </c>
      <c r="D30">
        <v>4</v>
      </c>
      <c r="E30">
        <f t="shared" si="0"/>
        <v>2.2073739043584895E-2</v>
      </c>
    </row>
    <row r="31" spans="1:5" x14ac:dyDescent="0.2">
      <c r="A31">
        <v>30</v>
      </c>
      <c r="B31">
        <v>27.222005129999999</v>
      </c>
      <c r="C31">
        <v>2.7493706999994316E-2</v>
      </c>
      <c r="D31">
        <v>2</v>
      </c>
      <c r="E31">
        <f t="shared" si="0"/>
        <v>5.051180544327627E-4</v>
      </c>
    </row>
    <row r="32" spans="1:5" x14ac:dyDescent="0.2">
      <c r="A32">
        <v>31</v>
      </c>
      <c r="B32">
        <v>24.516598040000002</v>
      </c>
      <c r="C32">
        <v>0.29392574000000593</v>
      </c>
      <c r="D32">
        <v>1</v>
      </c>
      <c r="E32">
        <f t="shared" si="0"/>
        <v>1.1988846883260518E-2</v>
      </c>
    </row>
    <row r="33" spans="1:5" x14ac:dyDescent="0.2">
      <c r="A33">
        <v>32</v>
      </c>
      <c r="B33">
        <v>38.229573629999997</v>
      </c>
      <c r="C33">
        <v>0.27440013300000032</v>
      </c>
      <c r="D33">
        <v>5</v>
      </c>
      <c r="E33">
        <f t="shared" si="0"/>
        <v>1.4396779289015393E-3</v>
      </c>
    </row>
    <row r="34" spans="1:5" x14ac:dyDescent="0.2">
      <c r="A34">
        <v>33</v>
      </c>
      <c r="B34">
        <v>27.644945669999998</v>
      </c>
      <c r="C34">
        <v>0.94194061199999979</v>
      </c>
      <c r="D34">
        <v>2</v>
      </c>
      <c r="E34">
        <f t="shared" si="0"/>
        <v>1.7184044005314036E-2</v>
      </c>
    </row>
    <row r="35" spans="1:5" x14ac:dyDescent="0.2">
      <c r="A35">
        <v>34</v>
      </c>
      <c r="B35">
        <v>25.401882789999998</v>
      </c>
      <c r="C35">
        <v>0.24203521499999781</v>
      </c>
      <c r="D35">
        <v>2</v>
      </c>
      <c r="E35">
        <f t="shared" si="0"/>
        <v>4.7755224001392316E-3</v>
      </c>
    </row>
    <row r="36" spans="1:5" x14ac:dyDescent="0.2">
      <c r="A36">
        <v>35</v>
      </c>
      <c r="B36">
        <v>27.64339683</v>
      </c>
      <c r="C36">
        <v>0.77583076199999823</v>
      </c>
      <c r="D36">
        <v>2</v>
      </c>
      <c r="E36">
        <f t="shared" si="0"/>
        <v>1.4132707294791769E-2</v>
      </c>
    </row>
    <row r="37" spans="1:5" x14ac:dyDescent="0.2">
      <c r="A37">
        <v>36</v>
      </c>
      <c r="B37">
        <v>28.333079000000001</v>
      </c>
      <c r="C37">
        <v>0.87008517899999838</v>
      </c>
      <c r="D37">
        <v>4</v>
      </c>
      <c r="E37">
        <f t="shared" si="0"/>
        <v>7.7673202767603033E-3</v>
      </c>
    </row>
    <row r="38" spans="1:5" x14ac:dyDescent="0.2">
      <c r="A38">
        <v>37</v>
      </c>
      <c r="B38">
        <v>21.765459140000001</v>
      </c>
      <c r="C38">
        <v>4.9103687999998868E-2</v>
      </c>
      <c r="D38">
        <v>2</v>
      </c>
      <c r="E38">
        <f t="shared" si="0"/>
        <v>1.1286555892667804E-3</v>
      </c>
    </row>
    <row r="39" spans="1:5" x14ac:dyDescent="0.2">
      <c r="A39">
        <v>38</v>
      </c>
      <c r="B39">
        <v>22.658560909999999</v>
      </c>
      <c r="C39">
        <v>0.66510719099999882</v>
      </c>
      <c r="D39">
        <v>3</v>
      </c>
      <c r="E39">
        <f t="shared" si="0"/>
        <v>9.8818157312726695E-3</v>
      </c>
    </row>
    <row r="40" spans="1:5" x14ac:dyDescent="0.2">
      <c r="A40">
        <v>39</v>
      </c>
      <c r="B40">
        <v>25.674569940000001</v>
      </c>
      <c r="C40">
        <v>0.78661060399999982</v>
      </c>
      <c r="D40">
        <v>5</v>
      </c>
      <c r="E40">
        <f t="shared" si="0"/>
        <v>6.2040508685161644E-3</v>
      </c>
    </row>
    <row r="41" spans="1:5" x14ac:dyDescent="0.2">
      <c r="A41">
        <v>40</v>
      </c>
      <c r="B41">
        <v>21.662096129999998</v>
      </c>
      <c r="C41">
        <v>0.13294345299999577</v>
      </c>
      <c r="D41">
        <v>2</v>
      </c>
      <c r="E41">
        <f t="shared" si="0"/>
        <v>3.0732957206509592E-3</v>
      </c>
    </row>
    <row r="42" spans="1:5" x14ac:dyDescent="0.2">
      <c r="A42">
        <v>41</v>
      </c>
      <c r="B42">
        <v>28.044853140000001</v>
      </c>
      <c r="C42">
        <v>0.19048541700000499</v>
      </c>
      <c r="D42">
        <v>4</v>
      </c>
      <c r="E42">
        <f t="shared" si="0"/>
        <v>1.7023848004535935E-3</v>
      </c>
    </row>
    <row r="43" spans="1:5" x14ac:dyDescent="0.2">
      <c r="A43">
        <v>42</v>
      </c>
      <c r="B43">
        <v>28.81552615</v>
      </c>
      <c r="C43">
        <v>0.53734344099999376</v>
      </c>
      <c r="D43">
        <v>4</v>
      </c>
      <c r="E43">
        <f t="shared" si="0"/>
        <v>4.6948859036721746E-3</v>
      </c>
    </row>
    <row r="44" spans="1:5" x14ac:dyDescent="0.2">
      <c r="A44">
        <v>43</v>
      </c>
      <c r="B44">
        <v>28.96046887</v>
      </c>
      <c r="C44">
        <v>0.25566746400000184</v>
      </c>
      <c r="D44">
        <v>2</v>
      </c>
      <c r="E44">
        <f t="shared" si="0"/>
        <v>4.4238620169315679E-3</v>
      </c>
    </row>
    <row r="45" spans="1:5" x14ac:dyDescent="0.2">
      <c r="A45">
        <v>44</v>
      </c>
      <c r="B45">
        <v>33.307329809999999</v>
      </c>
      <c r="C45">
        <v>4.7798580999995011E-2</v>
      </c>
      <c r="D45">
        <v>4</v>
      </c>
      <c r="E45">
        <f t="shared" si="0"/>
        <v>3.5896247025846151E-4</v>
      </c>
    </row>
    <row r="46" spans="1:5" x14ac:dyDescent="0.2">
      <c r="A46">
        <v>45</v>
      </c>
      <c r="B46">
        <v>34.285803909999998</v>
      </c>
      <c r="C46">
        <v>0.64991786400000251</v>
      </c>
      <c r="D46">
        <v>3</v>
      </c>
      <c r="E46">
        <f t="shared" si="0"/>
        <v>6.3589803014009183E-3</v>
      </c>
    </row>
    <row r="47" spans="1:5" x14ac:dyDescent="0.2">
      <c r="A47">
        <v>46</v>
      </c>
      <c r="B47">
        <v>35.311631589999998</v>
      </c>
      <c r="C47">
        <v>2.0256274800000043</v>
      </c>
      <c r="D47">
        <v>8</v>
      </c>
      <c r="E47">
        <f t="shared" si="0"/>
        <v>7.357227720200088E-3</v>
      </c>
    </row>
    <row r="48" spans="1:5" x14ac:dyDescent="0.2">
      <c r="A48">
        <v>47</v>
      </c>
      <c r="B48">
        <v>23.340895419999999</v>
      </c>
      <c r="C48">
        <v>1.673384016</v>
      </c>
      <c r="D48">
        <v>5</v>
      </c>
      <c r="E48">
        <f t="shared" si="0"/>
        <v>1.4768464874991838E-2</v>
      </c>
    </row>
    <row r="49" spans="1:5" x14ac:dyDescent="0.2">
      <c r="A49">
        <v>48</v>
      </c>
      <c r="B49">
        <v>22.00741382</v>
      </c>
      <c r="C49">
        <v>0.22692925800000197</v>
      </c>
      <c r="D49">
        <v>2</v>
      </c>
      <c r="E49">
        <f t="shared" si="0"/>
        <v>5.1691055181777301E-3</v>
      </c>
    </row>
    <row r="50" spans="1:5" x14ac:dyDescent="0.2">
      <c r="A50">
        <v>49</v>
      </c>
      <c r="B50">
        <v>29.73661954</v>
      </c>
      <c r="C50">
        <v>1.6164737019999924</v>
      </c>
      <c r="D50">
        <v>9</v>
      </c>
      <c r="E50">
        <f t="shared" si="0"/>
        <v>6.1910906456502657E-3</v>
      </c>
    </row>
    <row r="51" spans="1:5" x14ac:dyDescent="0.2">
      <c r="A51">
        <v>50</v>
      </c>
      <c r="B51">
        <v>15.674932249999999</v>
      </c>
      <c r="C51">
        <v>0.16271987399999954</v>
      </c>
      <c r="D51">
        <v>4</v>
      </c>
      <c r="E51">
        <f t="shared" si="0"/>
        <v>2.6053889215890136E-3</v>
      </c>
    </row>
    <row r="52" spans="1:5" x14ac:dyDescent="0.2">
      <c r="A52">
        <v>51</v>
      </c>
      <c r="B52">
        <v>5.5146405830000003</v>
      </c>
      <c r="C52">
        <v>5.2757999999997196E-4</v>
      </c>
      <c r="D52">
        <v>1</v>
      </c>
      <c r="E52">
        <f t="shared" si="0"/>
        <v>9.5668972811435715E-5</v>
      </c>
    </row>
    <row r="53" spans="1:5" x14ac:dyDescent="0.2">
      <c r="A53">
        <v>52</v>
      </c>
      <c r="B53">
        <v>9.0940218480000006</v>
      </c>
      <c r="C53">
        <v>0.38116936299999971</v>
      </c>
      <c r="D53">
        <v>1</v>
      </c>
      <c r="E53">
        <f t="shared" si="0"/>
        <v>4.1914278343616274E-2</v>
      </c>
    </row>
    <row r="54" spans="1:5" x14ac:dyDescent="0.2">
      <c r="A54">
        <v>53</v>
      </c>
      <c r="B54">
        <v>9.4628625540000009</v>
      </c>
      <c r="C54">
        <v>3.8348470000020285E-3</v>
      </c>
      <c r="D54">
        <v>1</v>
      </c>
      <c r="E54">
        <f t="shared" si="0"/>
        <v>4.0525231959342989E-4</v>
      </c>
    </row>
    <row r="55" spans="1:5" x14ac:dyDescent="0.2">
      <c r="A55">
        <v>54</v>
      </c>
      <c r="B55">
        <v>11.294960319999999</v>
      </c>
      <c r="C55">
        <v>5.5459656000000024E-2</v>
      </c>
      <c r="D55">
        <v>1</v>
      </c>
      <c r="E55">
        <f t="shared" si="0"/>
        <v>4.9101240224631582E-3</v>
      </c>
    </row>
    <row r="56" spans="1:5" x14ac:dyDescent="0.2">
      <c r="A56">
        <v>55</v>
      </c>
      <c r="B56">
        <v>13.686328230000001</v>
      </c>
      <c r="C56">
        <v>5.9872140000010177E-3</v>
      </c>
      <c r="D56">
        <v>2</v>
      </c>
      <c r="E56">
        <f t="shared" si="0"/>
        <v>2.1875366546497688E-4</v>
      </c>
    </row>
    <row r="57" spans="1:5" x14ac:dyDescent="0.2">
      <c r="A57">
        <v>56</v>
      </c>
      <c r="B57">
        <v>10.449511640000001</v>
      </c>
      <c r="C57">
        <v>0.53494893000000054</v>
      </c>
      <c r="D57">
        <v>1</v>
      </c>
      <c r="E57">
        <f t="shared" si="0"/>
        <v>5.1193677602334398E-2</v>
      </c>
    </row>
    <row r="58" spans="1:5" x14ac:dyDescent="0.2">
      <c r="A58">
        <v>57</v>
      </c>
      <c r="B58">
        <v>12.098419850000001</v>
      </c>
      <c r="C58">
        <v>0.16182901900000068</v>
      </c>
      <c r="D58">
        <v>1</v>
      </c>
      <c r="E58">
        <f t="shared" si="0"/>
        <v>1.33760458809008E-2</v>
      </c>
    </row>
    <row r="59" spans="1:5" x14ac:dyDescent="0.2">
      <c r="A59">
        <v>58</v>
      </c>
      <c r="B59">
        <v>12.921752529999999</v>
      </c>
      <c r="C59">
        <v>0.39506093199999803</v>
      </c>
      <c r="D59">
        <v>3</v>
      </c>
      <c r="E59">
        <f t="shared" si="0"/>
        <v>1.0296767660221251E-2</v>
      </c>
    </row>
    <row r="60" spans="1:5" x14ac:dyDescent="0.2">
      <c r="A60">
        <v>59</v>
      </c>
      <c r="B60">
        <v>8.3282779750000007</v>
      </c>
      <c r="C60">
        <v>4.1915726000002707E-2</v>
      </c>
      <c r="D60">
        <v>1</v>
      </c>
      <c r="E60">
        <f t="shared" si="0"/>
        <v>5.0329403180137122E-3</v>
      </c>
    </row>
    <row r="61" spans="1:5" x14ac:dyDescent="0.2">
      <c r="A61">
        <v>60</v>
      </c>
      <c r="B61">
        <v>11.559916449999999</v>
      </c>
      <c r="C61">
        <v>9.033826699999814E-2</v>
      </c>
      <c r="D61">
        <v>1</v>
      </c>
      <c r="E61">
        <f t="shared" si="0"/>
        <v>7.814785460668161E-3</v>
      </c>
    </row>
    <row r="62" spans="1:5" x14ac:dyDescent="0.2">
      <c r="A62">
        <v>61</v>
      </c>
      <c r="B62">
        <v>12.70008784</v>
      </c>
      <c r="C62">
        <v>0.53926616899999935</v>
      </c>
      <c r="D62">
        <v>1</v>
      </c>
      <c r="E62">
        <f t="shared" si="0"/>
        <v>4.2461609383640297E-2</v>
      </c>
    </row>
    <row r="63" spans="1:5" x14ac:dyDescent="0.2">
      <c r="A63">
        <v>62</v>
      </c>
      <c r="B63">
        <v>11.7946069</v>
      </c>
      <c r="C63">
        <v>8.350890000006217E-4</v>
      </c>
      <c r="D63">
        <v>1</v>
      </c>
      <c r="E63">
        <f t="shared" si="0"/>
        <v>7.0802614032028366E-5</v>
      </c>
    </row>
    <row r="64" spans="1:5" x14ac:dyDescent="0.2">
      <c r="A64">
        <v>63</v>
      </c>
      <c r="B64">
        <v>11.0600211</v>
      </c>
      <c r="C64">
        <v>8.5414303000000302E-2</v>
      </c>
      <c r="D64">
        <v>1</v>
      </c>
      <c r="E64">
        <f t="shared" si="0"/>
        <v>7.7227974727823723E-3</v>
      </c>
    </row>
    <row r="65" spans="1:5" x14ac:dyDescent="0.2">
      <c r="A65">
        <v>64</v>
      </c>
      <c r="B65">
        <v>10.64127092</v>
      </c>
      <c r="C65">
        <v>0.27830305900000063</v>
      </c>
      <c r="D65">
        <v>1</v>
      </c>
      <c r="E65">
        <f t="shared" si="0"/>
        <v>2.6153178609233274E-2</v>
      </c>
    </row>
    <row r="66" spans="1:5" x14ac:dyDescent="0.2">
      <c r="A66">
        <v>65</v>
      </c>
      <c r="B66">
        <v>11.02504444</v>
      </c>
      <c r="C66">
        <v>1.1599922340000006</v>
      </c>
      <c r="D66">
        <v>1</v>
      </c>
      <c r="E66">
        <f t="shared" si="0"/>
        <v>0.1052142910001731</v>
      </c>
    </row>
    <row r="67" spans="1:5" x14ac:dyDescent="0.2">
      <c r="A67">
        <v>66</v>
      </c>
      <c r="B67">
        <v>11.740356179999999</v>
      </c>
      <c r="C67">
        <v>8.1758578999997056E-2</v>
      </c>
      <c r="D67">
        <v>1</v>
      </c>
      <c r="E67">
        <f t="shared" ref="E67:E105" si="1">1-((B67-C67)/B67)^(1/(D67))</f>
        <v>6.9638925554298403E-3</v>
      </c>
    </row>
    <row r="68" spans="1:5" x14ac:dyDescent="0.2">
      <c r="A68">
        <v>67</v>
      </c>
      <c r="B68">
        <v>12.11225196</v>
      </c>
      <c r="C68">
        <v>3.1370849000001755E-2</v>
      </c>
      <c r="D68">
        <v>1</v>
      </c>
      <c r="E68">
        <f t="shared" si="1"/>
        <v>2.5900096120524685E-3</v>
      </c>
    </row>
    <row r="69" spans="1:5" x14ac:dyDescent="0.2">
      <c r="A69">
        <v>68</v>
      </c>
      <c r="B69">
        <v>12.942391239999999</v>
      </c>
      <c r="C69">
        <v>0.27039214799999733</v>
      </c>
      <c r="D69">
        <v>1</v>
      </c>
      <c r="E69">
        <f t="shared" si="1"/>
        <v>2.0891977609540868E-2</v>
      </c>
    </row>
    <row r="70" spans="1:5" x14ac:dyDescent="0.2">
      <c r="A70">
        <v>69</v>
      </c>
      <c r="B70">
        <v>13.790427230000001</v>
      </c>
      <c r="C70">
        <v>1.2887803370000022</v>
      </c>
      <c r="D70">
        <v>1</v>
      </c>
      <c r="E70">
        <f t="shared" si="1"/>
        <v>9.3454707059137387E-2</v>
      </c>
    </row>
    <row r="71" spans="1:5" x14ac:dyDescent="0.2">
      <c r="A71">
        <v>70</v>
      </c>
      <c r="B71">
        <v>12.635224040000001</v>
      </c>
      <c r="C71">
        <v>1.318417399999916E-2</v>
      </c>
      <c r="D71">
        <v>1</v>
      </c>
      <c r="E71">
        <f t="shared" si="1"/>
        <v>1.043446001294579E-3</v>
      </c>
    </row>
    <row r="72" spans="1:5" x14ac:dyDescent="0.2">
      <c r="A72">
        <v>71</v>
      </c>
      <c r="B72">
        <v>13.405303050000001</v>
      </c>
      <c r="C72">
        <v>0.25822947099999993</v>
      </c>
      <c r="D72">
        <v>3</v>
      </c>
      <c r="E72">
        <f t="shared" si="1"/>
        <v>6.4627547622171377E-3</v>
      </c>
    </row>
    <row r="73" spans="1:5" x14ac:dyDescent="0.2">
      <c r="A73">
        <v>72</v>
      </c>
      <c r="B73">
        <v>8.6753524009999996</v>
      </c>
      <c r="C73">
        <v>3.9668989999999127E-3</v>
      </c>
      <c r="D73">
        <v>2</v>
      </c>
      <c r="E73">
        <f t="shared" si="1"/>
        <v>2.2865656616732899E-4</v>
      </c>
    </row>
    <row r="74" spans="1:5" x14ac:dyDescent="0.2">
      <c r="A74">
        <v>73</v>
      </c>
      <c r="B74">
        <v>10.04360425</v>
      </c>
      <c r="C74">
        <v>0.18368920100000086</v>
      </c>
      <c r="D74">
        <v>3</v>
      </c>
      <c r="E74">
        <f t="shared" si="1"/>
        <v>6.1339387878823759E-3</v>
      </c>
    </row>
    <row r="75" spans="1:5" x14ac:dyDescent="0.2">
      <c r="A75">
        <v>74</v>
      </c>
      <c r="B75">
        <v>7.1064307910000002</v>
      </c>
      <c r="C75">
        <v>2.2684498000002051E-2</v>
      </c>
      <c r="D75">
        <v>2</v>
      </c>
      <c r="E75">
        <f t="shared" si="1"/>
        <v>1.5973299721896428E-3</v>
      </c>
    </row>
    <row r="76" spans="1:5" x14ac:dyDescent="0.2">
      <c r="A76">
        <v>75</v>
      </c>
      <c r="B76">
        <v>10.48786954</v>
      </c>
      <c r="C76">
        <v>2.6280860000014172E-3</v>
      </c>
      <c r="D76">
        <v>2</v>
      </c>
      <c r="E76">
        <f t="shared" si="1"/>
        <v>1.2529954960294187E-4</v>
      </c>
    </row>
    <row r="77" spans="1:5" x14ac:dyDescent="0.2">
      <c r="A77">
        <v>76</v>
      </c>
      <c r="B77">
        <v>11.061812209999999</v>
      </c>
      <c r="C77">
        <v>0.73308591999999884</v>
      </c>
      <c r="D77">
        <v>2</v>
      </c>
      <c r="E77">
        <f t="shared" si="1"/>
        <v>3.3703862217920322E-2</v>
      </c>
    </row>
    <row r="78" spans="1:5" x14ac:dyDescent="0.2">
      <c r="A78">
        <v>77</v>
      </c>
      <c r="B78">
        <v>11.183728070000001</v>
      </c>
      <c r="C78">
        <v>0.56649242900000019</v>
      </c>
      <c r="D78">
        <v>3</v>
      </c>
      <c r="E78">
        <f t="shared" si="1"/>
        <v>1.7177811899086515E-2</v>
      </c>
    </row>
    <row r="79" spans="1:5" x14ac:dyDescent="0.2">
      <c r="A79">
        <v>78</v>
      </c>
      <c r="B79">
        <v>7.7567912349999997</v>
      </c>
      <c r="C79">
        <v>0.15020655100000013</v>
      </c>
      <c r="D79">
        <v>2</v>
      </c>
      <c r="E79">
        <f t="shared" si="1"/>
        <v>9.729593265688008E-3</v>
      </c>
    </row>
    <row r="80" spans="1:5" x14ac:dyDescent="0.2">
      <c r="A80">
        <v>79</v>
      </c>
      <c r="B80">
        <v>5.5557345439999999</v>
      </c>
      <c r="C80">
        <v>0.43437747399999882</v>
      </c>
      <c r="D80">
        <v>1</v>
      </c>
      <c r="E80">
        <f t="shared" si="1"/>
        <v>7.8185426348188591E-2</v>
      </c>
    </row>
    <row r="81" spans="1:5" x14ac:dyDescent="0.2">
      <c r="A81">
        <v>80</v>
      </c>
      <c r="B81">
        <v>7.991935657</v>
      </c>
      <c r="C81">
        <v>5.3252245999999559E-2</v>
      </c>
      <c r="D81">
        <v>1</v>
      </c>
      <c r="E81">
        <f t="shared" si="1"/>
        <v>6.6632475892566267E-3</v>
      </c>
    </row>
    <row r="82" spans="1:5" x14ac:dyDescent="0.2">
      <c r="A82">
        <v>81</v>
      </c>
      <c r="B82">
        <v>11.288793849999999</v>
      </c>
      <c r="C82">
        <v>0.30796661399999969</v>
      </c>
      <c r="D82">
        <v>2</v>
      </c>
      <c r="E82">
        <f t="shared" si="1"/>
        <v>1.3734689252792864E-2</v>
      </c>
    </row>
    <row r="83" spans="1:5" x14ac:dyDescent="0.2">
      <c r="A83">
        <v>82</v>
      </c>
      <c r="B83">
        <v>10.0116341</v>
      </c>
      <c r="C83">
        <v>0.40595967299999991</v>
      </c>
      <c r="D83">
        <v>2</v>
      </c>
      <c r="E83">
        <f t="shared" si="1"/>
        <v>2.0484197385973624E-2</v>
      </c>
    </row>
    <row r="84" spans="1:5" x14ac:dyDescent="0.2">
      <c r="A84">
        <v>83</v>
      </c>
      <c r="B84">
        <v>6.6953453940000003</v>
      </c>
      <c r="C84">
        <v>0.13513910500000037</v>
      </c>
      <c r="D84">
        <v>1</v>
      </c>
      <c r="E84">
        <f t="shared" si="1"/>
        <v>2.0184037872206684E-2</v>
      </c>
    </row>
    <row r="85" spans="1:5" x14ac:dyDescent="0.2">
      <c r="A85">
        <v>84</v>
      </c>
      <c r="B85">
        <v>14.19134519</v>
      </c>
      <c r="C85">
        <v>0.38107481500000162</v>
      </c>
      <c r="D85">
        <v>4</v>
      </c>
      <c r="E85">
        <f t="shared" si="1"/>
        <v>6.7818337843085219E-3</v>
      </c>
    </row>
    <row r="86" spans="1:5" x14ac:dyDescent="0.2">
      <c r="A86">
        <v>85</v>
      </c>
      <c r="B86">
        <v>21.79544559</v>
      </c>
      <c r="C86">
        <v>0.77500789199999953</v>
      </c>
      <c r="D86">
        <v>5</v>
      </c>
      <c r="E86">
        <f t="shared" si="1"/>
        <v>7.2150142902684955E-3</v>
      </c>
    </row>
    <row r="87" spans="1:5" x14ac:dyDescent="0.2">
      <c r="A87">
        <v>86</v>
      </c>
      <c r="B87">
        <v>9.0786477629999993</v>
      </c>
      <c r="C87">
        <v>0.16232478900000147</v>
      </c>
      <c r="D87">
        <v>3</v>
      </c>
      <c r="E87">
        <f t="shared" si="1"/>
        <v>5.9958254587242354E-3</v>
      </c>
    </row>
    <row r="88" spans="1:5" x14ac:dyDescent="0.2">
      <c r="A88">
        <v>87</v>
      </c>
      <c r="B88">
        <v>11.92214442</v>
      </c>
      <c r="C88">
        <v>0.19984863800000063</v>
      </c>
      <c r="D88">
        <v>3</v>
      </c>
      <c r="E88">
        <f t="shared" si="1"/>
        <v>5.6191185831205859E-3</v>
      </c>
    </row>
    <row r="89" spans="1:5" x14ac:dyDescent="0.2">
      <c r="A89">
        <v>88</v>
      </c>
      <c r="B89">
        <v>14.85974008</v>
      </c>
      <c r="C89">
        <v>0.68915331900000298</v>
      </c>
      <c r="D89">
        <v>4</v>
      </c>
      <c r="E89">
        <f t="shared" si="1"/>
        <v>1.1801580149664148E-2</v>
      </c>
    </row>
    <row r="90" spans="1:5" x14ac:dyDescent="0.2">
      <c r="A90">
        <v>89</v>
      </c>
      <c r="B90">
        <v>13.86438051</v>
      </c>
      <c r="C90">
        <v>0.16576518899999915</v>
      </c>
      <c r="D90">
        <v>4</v>
      </c>
      <c r="E90">
        <f t="shared" si="1"/>
        <v>3.0025437406544508E-3</v>
      </c>
    </row>
    <row r="91" spans="1:5" x14ac:dyDescent="0.2">
      <c r="A91">
        <v>90</v>
      </c>
      <c r="B91">
        <v>26.56030724</v>
      </c>
      <c r="C91">
        <v>1.995792435000002</v>
      </c>
      <c r="D91">
        <v>8</v>
      </c>
      <c r="E91">
        <f t="shared" si="1"/>
        <v>9.7168555948365931E-3</v>
      </c>
    </row>
    <row r="92" spans="1:5" x14ac:dyDescent="0.2">
      <c r="A92">
        <v>91</v>
      </c>
      <c r="B92">
        <v>46.406204279999997</v>
      </c>
      <c r="C92">
        <v>1.4360064689999987</v>
      </c>
      <c r="D92">
        <v>6</v>
      </c>
      <c r="E92">
        <f t="shared" si="1"/>
        <v>5.2251617221876767E-3</v>
      </c>
    </row>
    <row r="93" spans="1:5" x14ac:dyDescent="0.2">
      <c r="A93">
        <v>92</v>
      </c>
      <c r="B93">
        <v>43.246146869999997</v>
      </c>
      <c r="C93">
        <v>2.6036868989999906</v>
      </c>
      <c r="D93">
        <v>10</v>
      </c>
      <c r="E93">
        <f t="shared" si="1"/>
        <v>6.1902417641239715E-3</v>
      </c>
    </row>
    <row r="94" spans="1:5" x14ac:dyDescent="0.2">
      <c r="A94">
        <v>93</v>
      </c>
      <c r="B94">
        <v>18.013713729999999</v>
      </c>
      <c r="C94">
        <v>0.102883488999999</v>
      </c>
      <c r="D94">
        <v>6</v>
      </c>
      <c r="E94">
        <f t="shared" si="1"/>
        <v>9.5417289174137832E-4</v>
      </c>
    </row>
    <row r="95" spans="1:5" x14ac:dyDescent="0.2">
      <c r="A95">
        <v>94</v>
      </c>
      <c r="B95">
        <v>29.046152419999999</v>
      </c>
      <c r="C95">
        <v>2.839634736999999</v>
      </c>
      <c r="D95">
        <v>12</v>
      </c>
      <c r="E95">
        <f t="shared" si="1"/>
        <v>8.5365120659581795E-3</v>
      </c>
    </row>
    <row r="96" spans="1:5" x14ac:dyDescent="0.2">
      <c r="A96">
        <v>95</v>
      </c>
      <c r="B96">
        <v>28.658457030000001</v>
      </c>
      <c r="C96">
        <v>3.2039949289999985</v>
      </c>
      <c r="D96">
        <v>4</v>
      </c>
      <c r="E96">
        <f t="shared" si="1"/>
        <v>2.9204443247973222E-2</v>
      </c>
    </row>
    <row r="97" spans="1:5" x14ac:dyDescent="0.2">
      <c r="A97">
        <v>96</v>
      </c>
      <c r="B97">
        <v>30.290481700000001</v>
      </c>
      <c r="C97">
        <v>1.2863126839999985</v>
      </c>
      <c r="D97">
        <v>4</v>
      </c>
      <c r="E97">
        <f t="shared" si="1"/>
        <v>1.078985463485671E-2</v>
      </c>
    </row>
    <row r="98" spans="1:5" x14ac:dyDescent="0.2">
      <c r="A98">
        <v>97</v>
      </c>
      <c r="B98">
        <v>40.600469959999998</v>
      </c>
      <c r="C98">
        <v>7.913486700000405E-2</v>
      </c>
      <c r="D98">
        <v>4</v>
      </c>
      <c r="E98">
        <f t="shared" si="1"/>
        <v>4.8763458866885045E-4</v>
      </c>
    </row>
    <row r="99" spans="1:5" x14ac:dyDescent="0.2">
      <c r="A99">
        <v>98</v>
      </c>
      <c r="B99">
        <v>28.85761218</v>
      </c>
      <c r="C99">
        <v>2.1977445259999975</v>
      </c>
      <c r="D99">
        <v>8</v>
      </c>
      <c r="E99">
        <f t="shared" si="1"/>
        <v>9.8529461771441618E-3</v>
      </c>
    </row>
    <row r="100" spans="1:5" x14ac:dyDescent="0.2">
      <c r="A100">
        <v>99</v>
      </c>
      <c r="B100">
        <v>25.990243240000002</v>
      </c>
      <c r="C100">
        <v>0.71284089900000325</v>
      </c>
      <c r="D100">
        <v>2</v>
      </c>
      <c r="E100">
        <f t="shared" si="1"/>
        <v>1.3808968811662048E-2</v>
      </c>
    </row>
    <row r="101" spans="1:5" x14ac:dyDescent="0.2">
      <c r="A101">
        <v>100</v>
      </c>
      <c r="B101">
        <v>41.586796489999998</v>
      </c>
      <c r="C101">
        <v>0.80299416899999443</v>
      </c>
      <c r="D101">
        <v>4</v>
      </c>
      <c r="E101">
        <f t="shared" si="1"/>
        <v>4.8625702834828033E-3</v>
      </c>
    </row>
    <row r="102" spans="1:5" x14ac:dyDescent="0.2">
      <c r="A102">
        <v>101</v>
      </c>
      <c r="B102">
        <v>44.810770529999999</v>
      </c>
      <c r="C102">
        <v>1.0632819940000076</v>
      </c>
      <c r="D102">
        <v>4</v>
      </c>
      <c r="E102">
        <f t="shared" si="1"/>
        <v>5.9855939966362293E-3</v>
      </c>
    </row>
    <row r="103" spans="1:5" x14ac:dyDescent="0.2">
      <c r="A103">
        <v>102</v>
      </c>
      <c r="B103">
        <v>46.43260274</v>
      </c>
      <c r="C103">
        <v>4.1163002560000024</v>
      </c>
      <c r="D103">
        <v>7</v>
      </c>
      <c r="E103">
        <f t="shared" si="1"/>
        <v>1.3173804925869725E-2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ginger_data</vt:lpstr>
      <vt:lpstr>Sheet3</vt:lpstr>
      <vt:lpstr>Sheet2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Robert Sinclair</dc:creator>
  <cp:lastModifiedBy>Sean Robert Sinclair</cp:lastModifiedBy>
  <dcterms:created xsi:type="dcterms:W3CDTF">2023-12-20T16:03:24Z</dcterms:created>
  <dcterms:modified xsi:type="dcterms:W3CDTF">2023-12-29T22:32:15Z</dcterms:modified>
</cp:coreProperties>
</file>